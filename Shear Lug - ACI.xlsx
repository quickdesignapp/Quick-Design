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showInkAnnotation="0" codeName="ThisWorkbook" defaultThemeVersion="124226"/>
  <xr:revisionPtr revIDLastSave="0" documentId="13_ncr:1_{FB9B5920-0751-49BB-B9AA-6576E031F02D}" xr6:coauthVersionLast="47" xr6:coauthVersionMax="47" xr10:uidLastSave="{00000000-0000-0000-0000-000000000000}"/>
  <bookViews>
    <workbookView xWindow="-120" yWindow="-120" windowWidth="29040" windowHeight="15720" tabRatio="768" xr2:uid="{00000000-000D-0000-FFFF-FFFF00000000}"/>
  </bookViews>
  <sheets>
    <sheet name="Shear Lug" sheetId="197" r:id="rId1"/>
  </sheets>
  <definedNames>
    <definedName name="___IND1">#REF!</definedName>
    <definedName name="__IND1">#REF!</definedName>
    <definedName name="_IND1">#REF!</definedName>
    <definedName name="_xlnm.Print_Area" localSheetId="0">'Shear Lug'!$C$1:$K$42</definedName>
    <definedName name="Shape" localSheetId="0">#REF!</definedName>
    <definedName name="Shape">#REF!</definedName>
  </definedNames>
  <calcPr calcId="191029" iterateCount="20" iterateDelta="0.0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97" l="1"/>
  <c r="K13" i="197"/>
  <c r="J12" i="197"/>
  <c r="L7" i="197"/>
  <c r="I4" i="197"/>
  <c r="F56" i="197" l="1"/>
  <c r="D65" i="197"/>
  <c r="D69" i="197" l="1"/>
  <c r="L61" i="197"/>
  <c r="D60" i="197"/>
  <c r="D72" i="197" l="1"/>
  <c r="D73" i="197"/>
  <c r="D66" i="197"/>
  <c r="D75" i="197" s="1"/>
  <c r="D68" i="197" l="1"/>
  <c r="D70" i="197"/>
  <c r="D74" i="197"/>
  <c r="D67" i="197"/>
  <c r="D61" i="197" l="1"/>
  <c r="D76" i="197"/>
  <c r="D77" i="197" s="1"/>
  <c r="D47" i="197"/>
  <c r="F61" i="197"/>
  <c r="E56" i="197"/>
  <c r="D62" i="197" l="1"/>
  <c r="K49" i="197" l="1"/>
  <c r="F73" i="197" l="1"/>
  <c r="D48" i="197" l="1"/>
  <c r="D51" i="197" s="1"/>
  <c r="L51" i="197" s="1"/>
  <c r="L63" i="197"/>
  <c r="D54" i="197"/>
  <c r="D55" i="197" l="1"/>
  <c r="F72" i="197" l="1"/>
  <c r="D56" i="197"/>
  <c r="L56" i="197" s="1"/>
  <c r="F77" i="197" l="1"/>
  <c r="L77" i="197" l="1"/>
</calcChain>
</file>

<file path=xl/sharedStrings.xml><?xml version="1.0" encoding="utf-8"?>
<sst xmlns="http://schemas.openxmlformats.org/spreadsheetml/2006/main" count="163" uniqueCount="122">
  <si>
    <t>d</t>
  </si>
  <si>
    <t>Bolt</t>
  </si>
  <si>
    <t>Area</t>
  </si>
  <si>
    <t>kN</t>
  </si>
  <si>
    <t>mm</t>
  </si>
  <si>
    <r>
      <t>mm</t>
    </r>
    <r>
      <rPr>
        <vertAlign val="superscript"/>
        <sz val="8"/>
        <rFont val="Arial"/>
        <family val="2"/>
      </rPr>
      <t>2</t>
    </r>
  </si>
  <si>
    <t>Dia</t>
  </si>
  <si>
    <t>of</t>
  </si>
  <si>
    <t>Tensile</t>
  </si>
  <si>
    <t>Stress</t>
  </si>
  <si>
    <t>mm2</t>
  </si>
  <si>
    <t>MPa</t>
  </si>
  <si>
    <t>Yes</t>
  </si>
  <si>
    <t>Case 2</t>
  </si>
  <si>
    <t>No</t>
  </si>
  <si>
    <t>Supplement Rft.</t>
  </si>
  <si>
    <r>
      <t>C</t>
    </r>
    <r>
      <rPr>
        <vertAlign val="subscript"/>
        <sz val="10"/>
        <rFont val="Arial"/>
        <family val="2"/>
      </rPr>
      <t>a1</t>
    </r>
    <r>
      <rPr>
        <sz val="10"/>
        <rFont val="Arial"/>
        <family val="2"/>
      </rPr>
      <t xml:space="preserve"> =</t>
    </r>
  </si>
  <si>
    <r>
      <t xml:space="preserve">f </t>
    </r>
    <r>
      <rPr>
        <sz val="10"/>
        <rFont val="Arial"/>
        <family val="2"/>
      </rPr>
      <t>=</t>
    </r>
  </si>
  <si>
    <r>
      <t>A</t>
    </r>
    <r>
      <rPr>
        <vertAlign val="subscript"/>
        <sz val="10"/>
        <rFont val="Arial"/>
        <family val="2"/>
      </rPr>
      <t>vc</t>
    </r>
    <r>
      <rPr>
        <sz val="10"/>
        <rFont val="Arial"/>
        <family val="2"/>
      </rPr>
      <t xml:space="preserve"> =</t>
    </r>
  </si>
  <si>
    <r>
      <t>A</t>
    </r>
    <r>
      <rPr>
        <vertAlign val="subscript"/>
        <sz val="10"/>
        <rFont val="Arial"/>
        <family val="2"/>
      </rPr>
      <t>vco</t>
    </r>
    <r>
      <rPr>
        <sz val="10"/>
        <rFont val="Arial"/>
        <family val="2"/>
      </rPr>
      <t xml:space="preserve"> =</t>
    </r>
  </si>
  <si>
    <r>
      <t>Y</t>
    </r>
    <r>
      <rPr>
        <vertAlign val="subscript"/>
        <sz val="10"/>
        <rFont val="Arial"/>
        <family val="2"/>
      </rPr>
      <t>ec,V</t>
    </r>
    <r>
      <rPr>
        <sz val="10"/>
        <rFont val="Arial"/>
        <family val="2"/>
      </rPr>
      <t xml:space="preserve"> =</t>
    </r>
  </si>
  <si>
    <r>
      <t>Y</t>
    </r>
    <r>
      <rPr>
        <vertAlign val="subscript"/>
        <sz val="10"/>
        <rFont val="Arial"/>
        <family val="2"/>
      </rPr>
      <t>ed,V</t>
    </r>
    <r>
      <rPr>
        <sz val="10"/>
        <rFont val="Arial"/>
        <family val="2"/>
      </rPr>
      <t xml:space="preserve"> =</t>
    </r>
  </si>
  <si>
    <r>
      <t>Y</t>
    </r>
    <r>
      <rPr>
        <vertAlign val="subscript"/>
        <sz val="10"/>
        <rFont val="Arial"/>
        <family val="2"/>
      </rPr>
      <t>c,V</t>
    </r>
    <r>
      <rPr>
        <sz val="10"/>
        <rFont val="Arial"/>
        <family val="2"/>
      </rPr>
      <t xml:space="preserve"> =</t>
    </r>
  </si>
  <si>
    <r>
      <t>Y</t>
    </r>
    <r>
      <rPr>
        <vertAlign val="subscript"/>
        <sz val="10"/>
        <rFont val="Arial"/>
        <family val="2"/>
      </rPr>
      <t>h,V</t>
    </r>
    <r>
      <rPr>
        <sz val="10"/>
        <rFont val="Arial"/>
        <family val="2"/>
      </rPr>
      <t xml:space="preserve"> =</t>
    </r>
  </si>
  <si>
    <r>
      <t>V</t>
    </r>
    <r>
      <rPr>
        <vertAlign val="subscript"/>
        <sz val="10"/>
        <rFont val="Arial"/>
        <family val="2"/>
      </rPr>
      <t xml:space="preserve">b </t>
    </r>
    <r>
      <rPr>
        <sz val="10"/>
        <rFont val="Arial"/>
        <family val="2"/>
      </rPr>
      <t>=</t>
    </r>
  </si>
  <si>
    <t>Base Plate Length, N =</t>
  </si>
  <si>
    <t>Base Plate Width, B =</t>
  </si>
  <si>
    <t>Stud</t>
  </si>
  <si>
    <t>Headed Bolt</t>
  </si>
  <si>
    <t>17.7.2.1.3</t>
  </si>
  <si>
    <t>17.7.2.6.1</t>
  </si>
  <si>
    <t xml:space="preserve">       Column</t>
  </si>
  <si>
    <t>Concrete Bearing at Lug:</t>
  </si>
  <si>
    <t>Grout</t>
  </si>
  <si>
    <t>w</t>
  </si>
  <si>
    <t>Grout Thickness, G =</t>
  </si>
  <si>
    <t>Shear Lug</t>
  </si>
  <si>
    <r>
      <t xml:space="preserve">          </t>
    </r>
    <r>
      <rPr>
        <b/>
        <u/>
        <sz val="10"/>
        <rFont val="Arial"/>
        <family val="2"/>
      </rPr>
      <t>Nomenclature</t>
    </r>
  </si>
  <si>
    <r>
      <t xml:space="preserve">Weld Size, </t>
    </r>
    <r>
      <rPr>
        <sz val="10"/>
        <color indexed="8"/>
        <rFont val="Symbol"/>
        <family val="1"/>
        <charset val="2"/>
      </rPr>
      <t>w</t>
    </r>
    <r>
      <rPr>
        <sz val="10"/>
        <color indexed="8"/>
        <rFont val="Arial"/>
        <family val="2"/>
      </rPr>
      <t xml:space="preserve"> =</t>
    </r>
  </si>
  <si>
    <t>Lug Yield Stress, Fy =</t>
  </si>
  <si>
    <r>
      <t xml:space="preserve">Coef. of Friction, </t>
    </r>
    <r>
      <rPr>
        <sz val="10"/>
        <color indexed="8"/>
        <rFont val="Symbol"/>
        <family val="1"/>
        <charset val="2"/>
      </rPr>
      <t>m</t>
    </r>
    <r>
      <rPr>
        <sz val="10"/>
        <color indexed="8"/>
        <rFont val="Arial"/>
        <family val="2"/>
      </rPr>
      <t xml:space="preserve"> =</t>
    </r>
  </si>
  <si>
    <t>Concrete Cracked</t>
  </si>
  <si>
    <t>Shear Lug Design Loads:</t>
  </si>
  <si>
    <t>kN-mm</t>
  </si>
  <si>
    <t>Shear Lug Thickness:</t>
  </si>
  <si>
    <t>Shear Lug Welding:</t>
  </si>
  <si>
    <t>s =</t>
  </si>
  <si>
    <t>Rw =</t>
  </si>
  <si>
    <t>k/mm</t>
  </si>
  <si>
    <r>
      <t>w</t>
    </r>
    <r>
      <rPr>
        <sz val="8"/>
        <color indexed="8"/>
        <rFont val="Arial"/>
        <family val="2"/>
      </rPr>
      <t>(req'd)</t>
    </r>
    <r>
      <rPr>
        <sz val="10"/>
        <color indexed="8"/>
        <rFont val="Arial"/>
        <family val="2"/>
      </rPr>
      <t xml:space="preserve"> =</t>
    </r>
  </si>
  <si>
    <t>17.11.1.1.4</t>
  </si>
  <si>
    <r>
      <t>A</t>
    </r>
    <r>
      <rPr>
        <vertAlign val="subscript"/>
        <sz val="10"/>
        <rFont val="Arial"/>
        <family val="2"/>
      </rPr>
      <t>ef,sl</t>
    </r>
    <r>
      <rPr>
        <sz val="10"/>
        <rFont val="Arial"/>
        <family val="2"/>
      </rPr>
      <t xml:space="preserve"> =</t>
    </r>
  </si>
  <si>
    <r>
      <t>V</t>
    </r>
    <r>
      <rPr>
        <vertAlign val="subscript"/>
        <sz val="10"/>
        <rFont val="Arial"/>
        <family val="2"/>
      </rPr>
      <t>brg,sl</t>
    </r>
    <r>
      <rPr>
        <sz val="10"/>
        <rFont val="Arial"/>
        <family val="2"/>
      </rPr>
      <t xml:space="preserve"> =</t>
    </r>
  </si>
  <si>
    <t>17.11.2.1</t>
  </si>
  <si>
    <t>17.11.1.1.6</t>
  </si>
  <si>
    <t>17.11.3.1.1</t>
  </si>
  <si>
    <t>17.7.2.2.1b</t>
  </si>
  <si>
    <r>
      <t>V</t>
    </r>
    <r>
      <rPr>
        <vertAlign val="subscript"/>
        <sz val="10"/>
        <rFont val="Arial"/>
        <family val="2"/>
      </rPr>
      <t>cbg,sl</t>
    </r>
    <r>
      <rPr>
        <sz val="10"/>
        <rFont val="Arial"/>
        <family val="2"/>
      </rPr>
      <t xml:space="preserve"> =</t>
    </r>
  </si>
  <si>
    <t>17.7.2.1a</t>
  </si>
  <si>
    <r>
      <t>f</t>
    </r>
    <r>
      <rPr>
        <sz val="10"/>
        <rFont val="Arial"/>
        <family val="2"/>
      </rPr>
      <t>V</t>
    </r>
    <r>
      <rPr>
        <vertAlign val="subscript"/>
        <sz val="10"/>
        <rFont val="Arial"/>
        <family val="2"/>
      </rPr>
      <t>cbg,sl</t>
    </r>
    <r>
      <rPr>
        <sz val="10"/>
        <rFont val="Symbol"/>
        <family val="1"/>
        <charset val="2"/>
      </rPr>
      <t xml:space="preserve"> =</t>
    </r>
  </si>
  <si>
    <t>Anchor Bolts Data:</t>
  </si>
  <si>
    <r>
      <t>V</t>
    </r>
    <r>
      <rPr>
        <vertAlign val="subscript"/>
        <sz val="10"/>
        <rFont val="Arial"/>
        <family val="2"/>
      </rPr>
      <t>u,sl</t>
    </r>
    <r>
      <rPr>
        <sz val="10"/>
        <rFont val="Arial"/>
        <family val="2"/>
      </rPr>
      <t xml:space="preserve"> =</t>
    </r>
  </si>
  <si>
    <r>
      <t>M</t>
    </r>
    <r>
      <rPr>
        <vertAlign val="subscript"/>
        <sz val="10"/>
        <rFont val="Arial"/>
        <family val="2"/>
      </rPr>
      <t>u,sl</t>
    </r>
    <r>
      <rPr>
        <sz val="10"/>
        <rFont val="Arial"/>
        <family val="2"/>
      </rPr>
      <t xml:space="preserve"> =</t>
    </r>
  </si>
  <si>
    <r>
      <t>t</t>
    </r>
    <r>
      <rPr>
        <vertAlign val="subscript"/>
        <sz val="10"/>
        <color indexed="8"/>
        <rFont val="Arial"/>
        <family val="2"/>
      </rPr>
      <t>sl</t>
    </r>
    <r>
      <rPr>
        <sz val="10"/>
        <color indexed="8"/>
        <rFont val="Arial"/>
        <family val="2"/>
      </rPr>
      <t>,</t>
    </r>
    <r>
      <rPr>
        <sz val="8"/>
        <color indexed="8"/>
        <rFont val="Arial"/>
        <family val="2"/>
      </rPr>
      <t xml:space="preserve"> req'd</t>
    </r>
    <r>
      <rPr>
        <sz val="10"/>
        <color indexed="8"/>
        <rFont val="Arial"/>
        <family val="2"/>
      </rPr>
      <t xml:space="preserve"> =</t>
    </r>
  </si>
  <si>
    <r>
      <t xml:space="preserve">Pu </t>
    </r>
    <r>
      <rPr>
        <u/>
        <sz val="10"/>
        <rFont val="Arial"/>
        <family val="2"/>
      </rPr>
      <t>&lt;</t>
    </r>
    <r>
      <rPr>
        <sz val="10"/>
        <rFont val="Arial"/>
        <family val="2"/>
      </rPr>
      <t xml:space="preserve"> 0</t>
    </r>
  </si>
  <si>
    <t>Vu</t>
  </si>
  <si>
    <t>xx</t>
  </si>
  <si>
    <t>Loads:</t>
  </si>
  <si>
    <t>Axial Load, P𝘶𝘻 =</t>
  </si>
  <si>
    <t>Major Axis Shear, H𝘶𝘹 =</t>
  </si>
  <si>
    <t>Material:</t>
  </si>
  <si>
    <r>
      <t>Weld FE</t>
    </r>
    <r>
      <rPr>
        <vertAlign val="subscript"/>
        <sz val="10"/>
        <color indexed="8"/>
        <rFont val="Arial"/>
        <family val="2"/>
      </rPr>
      <t>xx</t>
    </r>
    <r>
      <rPr>
        <sz val="10"/>
        <color indexed="8"/>
        <rFont val="Arial"/>
        <family val="2"/>
      </rPr>
      <t xml:space="preserve"> =</t>
    </r>
  </si>
  <si>
    <t>Concrete Strength, f '𝘤 =</t>
  </si>
  <si>
    <t>CJP Weld ?</t>
  </si>
  <si>
    <t>Geometry:</t>
  </si>
  <si>
    <t>Pedestal Section:</t>
  </si>
  <si>
    <r>
      <t>Pedestal Height, h</t>
    </r>
    <r>
      <rPr>
        <vertAlign val="subscript"/>
        <sz val="10"/>
        <rFont val="Arial"/>
        <family val="2"/>
      </rPr>
      <t>a</t>
    </r>
    <r>
      <rPr>
        <sz val="10"/>
        <rFont val="Arial"/>
        <family val="2"/>
      </rPr>
      <t xml:space="preserve"> =</t>
    </r>
  </si>
  <si>
    <t>Base Plate and Lug:</t>
  </si>
  <si>
    <t>Base Plate Thk., tₚ =</t>
  </si>
  <si>
    <t>Lug Height, Hₛₗ =</t>
  </si>
  <si>
    <t>Lug Width, Wₛₗ =</t>
  </si>
  <si>
    <t>Lug Thickness, t =</t>
  </si>
  <si>
    <t>No. of Tension Anchors =</t>
  </si>
  <si>
    <t>Anchor Diameter, d𝘢 =</t>
  </si>
  <si>
    <t>Results</t>
  </si>
  <si>
    <t>Check / Reference</t>
  </si>
  <si>
    <t>W.P at top of Base Plate?</t>
  </si>
  <si>
    <r>
      <t>ψ</t>
    </r>
    <r>
      <rPr>
        <vertAlign val="subscript"/>
        <sz val="10"/>
        <rFont val="Arial"/>
        <family val="2"/>
      </rPr>
      <t>brg,sl</t>
    </r>
    <r>
      <rPr>
        <sz val="10"/>
        <rFont val="Arial"/>
        <family val="2"/>
      </rPr>
      <t xml:space="preserve"> =</t>
    </r>
  </si>
  <si>
    <t>AWS D1.1-15 Type A &amp; B</t>
  </si>
  <si>
    <t>ASTM Metric Hex Anchors</t>
  </si>
  <si>
    <r>
      <t>= √((M</t>
    </r>
    <r>
      <rPr>
        <vertAlign val="subscript"/>
        <sz val="10"/>
        <rFont val="Arial"/>
        <family val="2"/>
      </rPr>
      <t xml:space="preserve">u,sl </t>
    </r>
    <r>
      <rPr>
        <sz val="10"/>
        <rFont val="Arial"/>
        <family val="2"/>
      </rPr>
      <t>/s)</t>
    </r>
    <r>
      <rPr>
        <vertAlign val="superscript"/>
        <sz val="10"/>
        <rFont val="Arial"/>
        <family val="2"/>
      </rPr>
      <t>2</t>
    </r>
    <r>
      <rPr>
        <sz val="10"/>
        <rFont val="Arial"/>
        <family val="2"/>
      </rPr>
      <t>+(V</t>
    </r>
    <r>
      <rPr>
        <vertAlign val="subscript"/>
        <sz val="10"/>
        <rFont val="Arial"/>
        <family val="2"/>
      </rPr>
      <t xml:space="preserve">u,sl </t>
    </r>
    <r>
      <rPr>
        <sz val="10"/>
        <rFont val="Arial"/>
        <family val="2"/>
      </rPr>
      <t>/(2W</t>
    </r>
    <r>
      <rPr>
        <vertAlign val="subscript"/>
        <sz val="10"/>
        <rFont val="Arial"/>
        <family val="2"/>
      </rPr>
      <t>sl</t>
    </r>
    <r>
      <rPr>
        <sz val="10"/>
        <rFont val="Arial"/>
        <family val="2"/>
      </rPr>
      <t>))</t>
    </r>
    <r>
      <rPr>
        <vertAlign val="superscript"/>
        <sz val="10"/>
        <rFont val="Arial"/>
        <family val="2"/>
      </rPr>
      <t>2</t>
    </r>
    <r>
      <rPr>
        <sz val="10"/>
        <rFont val="Arial"/>
        <family val="2"/>
      </rPr>
      <t>)</t>
    </r>
  </si>
  <si>
    <r>
      <t>= t</t>
    </r>
    <r>
      <rPr>
        <vertAlign val="subscript"/>
        <sz val="10"/>
        <color indexed="8"/>
        <rFont val="Arial"/>
        <family val="2"/>
      </rPr>
      <t xml:space="preserve">sl </t>
    </r>
    <r>
      <rPr>
        <sz val="10"/>
        <color indexed="8"/>
        <rFont val="Arial"/>
        <family val="2"/>
      </rPr>
      <t xml:space="preserve">+ (2/3) </t>
    </r>
    <r>
      <rPr>
        <sz val="10"/>
        <color indexed="8"/>
        <rFont val="Symbol"/>
        <family val="1"/>
        <charset val="2"/>
      </rPr>
      <t>w</t>
    </r>
    <r>
      <rPr>
        <sz val="10"/>
        <color indexed="8"/>
        <rFont val="Arial"/>
        <family val="2"/>
      </rPr>
      <t xml:space="preserve">  (moment arm between C.G. of welds)</t>
    </r>
  </si>
  <si>
    <r>
      <rPr>
        <sz val="10"/>
        <rFont val="Arial"/>
        <family val="2"/>
      </rPr>
      <t>= √(4 M</t>
    </r>
    <r>
      <rPr>
        <vertAlign val="subscript"/>
        <sz val="10"/>
        <rFont val="Arial"/>
        <family val="2"/>
      </rPr>
      <t xml:space="preserve">u,sl </t>
    </r>
    <r>
      <rPr>
        <sz val="10"/>
        <rFont val="Arial"/>
        <family val="2"/>
      </rPr>
      <t>/(0.9 Fy))</t>
    </r>
  </si>
  <si>
    <r>
      <t>= (V</t>
    </r>
    <r>
      <rPr>
        <vertAlign val="subscript"/>
        <sz val="10"/>
        <rFont val="Arial"/>
        <family val="2"/>
      </rPr>
      <t xml:space="preserve">sl </t>
    </r>
    <r>
      <rPr>
        <sz val="10"/>
        <rFont val="Arial"/>
        <family val="2"/>
      </rPr>
      <t>/W</t>
    </r>
    <r>
      <rPr>
        <vertAlign val="subscript"/>
        <sz val="10"/>
        <rFont val="Arial"/>
        <family val="2"/>
      </rPr>
      <t>sl</t>
    </r>
    <r>
      <rPr>
        <sz val="10"/>
        <rFont val="Arial"/>
        <family val="2"/>
      </rPr>
      <t>) (H+G)/2</t>
    </r>
  </si>
  <si>
    <r>
      <t xml:space="preserve">= V + 1/2 </t>
    </r>
    <r>
      <rPr>
        <sz val="10"/>
        <rFont val="Symbol"/>
        <family val="1"/>
        <charset val="2"/>
      </rPr>
      <t xml:space="preserve">m </t>
    </r>
    <r>
      <rPr>
        <sz val="10"/>
        <rFont val="Arial"/>
        <family val="2"/>
      </rPr>
      <t>P</t>
    </r>
    <r>
      <rPr>
        <vertAlign val="subscript"/>
        <sz val="8"/>
        <rFont val="Arial"/>
        <family val="2"/>
      </rPr>
      <t>u</t>
    </r>
  </si>
  <si>
    <t>Concrete Shear Towards Free Edge:</t>
  </si>
  <si>
    <t>Data</t>
  </si>
  <si>
    <r>
      <t>= 4.5(C</t>
    </r>
    <r>
      <rPr>
        <vertAlign val="subscript"/>
        <sz val="10"/>
        <color indexed="8"/>
        <rFont val="Arial"/>
        <family val="2"/>
      </rPr>
      <t>a1</t>
    </r>
    <r>
      <rPr>
        <sz val="10"/>
        <color indexed="8"/>
        <rFont val="Arial"/>
        <family val="2"/>
      </rPr>
      <t>)</t>
    </r>
    <r>
      <rPr>
        <vertAlign val="superscript"/>
        <sz val="10"/>
        <color indexed="8"/>
        <rFont val="Arial"/>
        <family val="2"/>
      </rPr>
      <t>2</t>
    </r>
  </si>
  <si>
    <r>
      <t>= 1/(1+ 2e'</t>
    </r>
    <r>
      <rPr>
        <vertAlign val="subscript"/>
        <sz val="10"/>
        <rFont val="Arial"/>
        <family val="2"/>
      </rPr>
      <t>v</t>
    </r>
    <r>
      <rPr>
        <sz val="10"/>
        <rFont val="Arial"/>
        <family val="2"/>
      </rPr>
      <t>/3C</t>
    </r>
    <r>
      <rPr>
        <vertAlign val="subscript"/>
        <sz val="10"/>
        <rFont val="Arial"/>
        <family val="2"/>
      </rPr>
      <t>1</t>
    </r>
    <r>
      <rPr>
        <sz val="10"/>
        <rFont val="Arial"/>
        <family val="2"/>
      </rPr>
      <t xml:space="preserve">) </t>
    </r>
    <r>
      <rPr>
        <u/>
        <sz val="10"/>
        <rFont val="Arial"/>
        <family val="2"/>
      </rPr>
      <t>&lt;</t>
    </r>
    <r>
      <rPr>
        <sz val="10"/>
        <rFont val="Arial"/>
        <family val="2"/>
      </rPr>
      <t xml:space="preserve"> 1</t>
    </r>
  </si>
  <si>
    <r>
      <t>= max. [ √(1.5c</t>
    </r>
    <r>
      <rPr>
        <vertAlign val="subscript"/>
        <sz val="10"/>
        <rFont val="Arial"/>
        <family val="2"/>
      </rPr>
      <t>a1</t>
    </r>
    <r>
      <rPr>
        <sz val="10"/>
        <rFont val="Arial"/>
        <family val="2"/>
      </rPr>
      <t>/h</t>
    </r>
    <r>
      <rPr>
        <vertAlign val="subscript"/>
        <sz val="10"/>
        <rFont val="Arial"/>
        <family val="2"/>
      </rPr>
      <t>a</t>
    </r>
    <r>
      <rPr>
        <sz val="10"/>
        <rFont val="Arial"/>
        <family val="2"/>
      </rPr>
      <t>) , 1.0 ]</t>
    </r>
  </si>
  <si>
    <r>
      <t>= 3.7√f'</t>
    </r>
    <r>
      <rPr>
        <vertAlign val="subscript"/>
        <sz val="10"/>
        <rFont val="Arial"/>
        <family val="2"/>
      </rPr>
      <t>c</t>
    </r>
    <r>
      <rPr>
        <sz val="10"/>
        <rFont val="Arial"/>
        <family val="2"/>
      </rPr>
      <t>(C</t>
    </r>
    <r>
      <rPr>
        <vertAlign val="subscript"/>
        <sz val="10"/>
        <rFont val="Arial"/>
        <family val="2"/>
      </rPr>
      <t>a1</t>
    </r>
    <r>
      <rPr>
        <sz val="10"/>
        <rFont val="Arial"/>
        <family val="2"/>
      </rPr>
      <t>)</t>
    </r>
    <r>
      <rPr>
        <vertAlign val="superscript"/>
        <sz val="10"/>
        <rFont val="Arial"/>
        <family val="2"/>
      </rPr>
      <t>1.5</t>
    </r>
  </si>
  <si>
    <r>
      <t>= A</t>
    </r>
    <r>
      <rPr>
        <vertAlign val="subscript"/>
        <sz val="10"/>
        <rFont val="Arial"/>
        <family val="2"/>
      </rPr>
      <t>vc</t>
    </r>
    <r>
      <rPr>
        <sz val="10"/>
        <rFont val="Arial"/>
        <family val="2"/>
      </rPr>
      <t>/A</t>
    </r>
    <r>
      <rPr>
        <vertAlign val="subscript"/>
        <sz val="10"/>
        <rFont val="Arial"/>
        <family val="2"/>
      </rPr>
      <t>vco</t>
    </r>
    <r>
      <rPr>
        <sz val="10"/>
        <rFont val="Symbol"/>
        <family val="1"/>
        <charset val="2"/>
      </rPr>
      <t>Y</t>
    </r>
    <r>
      <rPr>
        <vertAlign val="subscript"/>
        <sz val="10"/>
        <rFont val="Arial"/>
        <family val="2"/>
      </rPr>
      <t>ec,V</t>
    </r>
    <r>
      <rPr>
        <sz val="10"/>
        <rFont val="Symbol"/>
        <family val="1"/>
        <charset val="2"/>
      </rPr>
      <t>Y</t>
    </r>
    <r>
      <rPr>
        <vertAlign val="subscript"/>
        <sz val="10"/>
        <rFont val="Arial"/>
        <family val="2"/>
      </rPr>
      <t>ed,V</t>
    </r>
    <r>
      <rPr>
        <sz val="10"/>
        <rFont val="Symbol"/>
        <family val="1"/>
        <charset val="2"/>
      </rPr>
      <t>Y</t>
    </r>
    <r>
      <rPr>
        <vertAlign val="subscript"/>
        <sz val="10"/>
        <rFont val="Arial"/>
        <family val="2"/>
      </rPr>
      <t>c,V</t>
    </r>
    <r>
      <rPr>
        <sz val="10"/>
        <rFont val="Symbol"/>
        <family val="1"/>
        <charset val="2"/>
      </rPr>
      <t>Y</t>
    </r>
    <r>
      <rPr>
        <vertAlign val="subscript"/>
        <sz val="10"/>
        <rFont val="Arial"/>
        <family val="2"/>
      </rPr>
      <t>h,V</t>
    </r>
    <r>
      <rPr>
        <sz val="10"/>
        <rFont val="Arial"/>
        <family val="2"/>
      </rPr>
      <t>V</t>
    </r>
    <r>
      <rPr>
        <vertAlign val="subscript"/>
        <sz val="10"/>
        <rFont val="Arial"/>
        <family val="2"/>
      </rPr>
      <t>b</t>
    </r>
  </si>
  <si>
    <r>
      <t>Edge Distance, E.D</t>
    </r>
    <r>
      <rPr>
        <vertAlign val="subscript"/>
        <sz val="10"/>
        <color indexed="8"/>
        <rFont val="Arial"/>
        <family val="2"/>
      </rPr>
      <t>X</t>
    </r>
    <r>
      <rPr>
        <sz val="10"/>
        <color indexed="8"/>
        <rFont val="Arial"/>
        <family val="2"/>
      </rPr>
      <t xml:space="preserve"> =</t>
    </r>
  </si>
  <si>
    <r>
      <t>Edge Distance, E.D</t>
    </r>
    <r>
      <rPr>
        <vertAlign val="subscript"/>
        <sz val="10"/>
        <color indexed="8"/>
        <rFont val="Arial"/>
        <family val="2"/>
      </rPr>
      <t>Y1</t>
    </r>
    <r>
      <rPr>
        <sz val="10"/>
        <color indexed="8"/>
        <rFont val="Arial"/>
        <family val="2"/>
      </rPr>
      <t xml:space="preserve"> =</t>
    </r>
  </si>
  <si>
    <r>
      <t>Edge Distance, E.D</t>
    </r>
    <r>
      <rPr>
        <vertAlign val="subscript"/>
        <sz val="10"/>
        <color indexed="8"/>
        <rFont val="Arial"/>
        <family val="2"/>
      </rPr>
      <t>Y2</t>
    </r>
    <r>
      <rPr>
        <sz val="10"/>
        <color indexed="8"/>
        <rFont val="Arial"/>
        <family val="2"/>
      </rPr>
      <t xml:space="preserve"> =</t>
    </r>
  </si>
  <si>
    <r>
      <t>f</t>
    </r>
    <r>
      <rPr>
        <vertAlign val="subscript"/>
        <sz val="10"/>
        <rFont val="Arial"/>
        <family val="2"/>
      </rPr>
      <t>uta</t>
    </r>
    <r>
      <rPr>
        <sz val="10"/>
        <rFont val="Arial"/>
        <family val="2"/>
      </rPr>
      <t xml:space="preserve"> =</t>
    </r>
  </si>
  <si>
    <t xml:space="preserve">Anchor Type </t>
  </si>
  <si>
    <t>Design Parameters:</t>
  </si>
  <si>
    <r>
      <t>= E.D</t>
    </r>
    <r>
      <rPr>
        <vertAlign val="subscript"/>
        <sz val="10"/>
        <color indexed="8"/>
        <rFont val="Arial"/>
        <family val="2"/>
      </rPr>
      <t>X</t>
    </r>
  </si>
  <si>
    <r>
      <t>E.D</t>
    </r>
    <r>
      <rPr>
        <vertAlign val="subscript"/>
        <sz val="10"/>
        <rFont val="Arial"/>
        <family val="2"/>
      </rPr>
      <t>y1</t>
    </r>
    <r>
      <rPr>
        <sz val="10"/>
        <rFont val="Arial"/>
        <family val="2"/>
      </rPr>
      <t xml:space="preserve"> =</t>
    </r>
  </si>
  <si>
    <r>
      <t>E.D</t>
    </r>
    <r>
      <rPr>
        <vertAlign val="subscript"/>
        <sz val="10"/>
        <rFont val="Arial"/>
        <family val="2"/>
      </rPr>
      <t>y2</t>
    </r>
    <r>
      <rPr>
        <sz val="10"/>
        <rFont val="Arial"/>
        <family val="2"/>
      </rPr>
      <t xml:space="preserve"> =</t>
    </r>
  </si>
  <si>
    <r>
      <t>= min [1.5C</t>
    </r>
    <r>
      <rPr>
        <vertAlign val="subscript"/>
        <sz val="10"/>
        <rFont val="Arial"/>
        <family val="2"/>
      </rPr>
      <t xml:space="preserve">a1 </t>
    </r>
    <r>
      <rPr>
        <sz val="10"/>
        <rFont val="Arial"/>
        <family val="2"/>
      </rPr>
      <t>+ W/2, E.D</t>
    </r>
    <r>
      <rPr>
        <vertAlign val="subscript"/>
        <sz val="10"/>
        <rFont val="Arial"/>
        <family val="2"/>
      </rPr>
      <t>Y2</t>
    </r>
    <r>
      <rPr>
        <sz val="10"/>
        <rFont val="Arial"/>
        <family val="2"/>
      </rPr>
      <t>]</t>
    </r>
  </si>
  <si>
    <r>
      <t>= min [1.5C</t>
    </r>
    <r>
      <rPr>
        <vertAlign val="subscript"/>
        <sz val="10"/>
        <rFont val="Arial"/>
        <family val="2"/>
      </rPr>
      <t xml:space="preserve">a1 </t>
    </r>
    <r>
      <rPr>
        <sz val="10"/>
        <rFont val="Arial"/>
        <family val="2"/>
      </rPr>
      <t>+ W/2, E.D</t>
    </r>
    <r>
      <rPr>
        <vertAlign val="subscript"/>
        <sz val="10"/>
        <rFont val="Arial"/>
        <family val="2"/>
      </rPr>
      <t>Y1</t>
    </r>
    <r>
      <rPr>
        <sz val="10"/>
        <rFont val="Arial"/>
        <family val="2"/>
      </rPr>
      <t>]</t>
    </r>
  </si>
  <si>
    <r>
      <t>= Wₛₗ x min[ 2t</t>
    </r>
    <r>
      <rPr>
        <vertAlign val="subscript"/>
        <sz val="10"/>
        <rFont val="Arial"/>
        <family val="2"/>
      </rPr>
      <t>sl</t>
    </r>
    <r>
      <rPr>
        <sz val="10"/>
        <rFont val="Arial"/>
        <family val="2"/>
      </rPr>
      <t xml:space="preserve"> , (Hₛₗ-G) ]</t>
    </r>
  </si>
  <si>
    <r>
      <t>= 1.7 ϕ f'c A</t>
    </r>
    <r>
      <rPr>
        <vertAlign val="subscript"/>
        <sz val="10"/>
        <rFont val="Arial"/>
        <family val="2"/>
      </rPr>
      <t xml:space="preserve">ef,sl </t>
    </r>
    <r>
      <rPr>
        <sz val="10"/>
        <rFont val="Symbol"/>
        <family val="1"/>
        <charset val="2"/>
      </rPr>
      <t>Y</t>
    </r>
    <r>
      <rPr>
        <vertAlign val="subscript"/>
        <sz val="10"/>
        <rFont val="Arial"/>
        <family val="2"/>
      </rPr>
      <t>brg,sl</t>
    </r>
  </si>
  <si>
    <t>17.11.2.1.1</t>
  </si>
  <si>
    <r>
      <t>= (E.D</t>
    </r>
    <r>
      <rPr>
        <vertAlign val="subscript"/>
        <sz val="10"/>
        <rFont val="Arial"/>
        <family val="2"/>
      </rPr>
      <t>y1</t>
    </r>
    <r>
      <rPr>
        <sz val="10"/>
        <rFont val="Arial"/>
        <family val="2"/>
      </rPr>
      <t>) + E.D</t>
    </r>
    <r>
      <rPr>
        <vertAlign val="subscript"/>
        <sz val="10"/>
        <rFont val="Arial"/>
        <family val="2"/>
      </rPr>
      <t>y2</t>
    </r>
    <r>
      <rPr>
        <sz val="10"/>
        <rFont val="Arial"/>
        <family val="2"/>
      </rPr>
      <t>) * min [1.5C</t>
    </r>
    <r>
      <rPr>
        <vertAlign val="subscript"/>
        <sz val="10"/>
        <rFont val="Arial"/>
        <family val="2"/>
      </rPr>
      <t xml:space="preserve">a1 </t>
    </r>
    <r>
      <rPr>
        <sz val="10"/>
        <rFont val="Arial"/>
        <family val="2"/>
      </rPr>
      <t>+ h</t>
    </r>
    <r>
      <rPr>
        <vertAlign val="subscript"/>
        <sz val="10"/>
        <rFont val="Arial"/>
        <family val="2"/>
      </rPr>
      <t xml:space="preserve">ef,sl </t>
    </r>
    <r>
      <rPr>
        <sz val="10"/>
        <rFont val="Arial"/>
        <family val="2"/>
      </rPr>
      <t>, h</t>
    </r>
    <r>
      <rPr>
        <vertAlign val="subscript"/>
        <sz val="10"/>
        <rFont val="Arial"/>
        <family val="2"/>
      </rPr>
      <t>a</t>
    </r>
    <r>
      <rPr>
        <sz val="10"/>
        <rFont val="Arial"/>
        <family val="2"/>
      </rPr>
      <t>] - A</t>
    </r>
    <r>
      <rPr>
        <vertAlign val="subscript"/>
        <sz val="10"/>
        <rFont val="Arial"/>
        <family val="2"/>
      </rPr>
      <t>ef,sl</t>
    </r>
  </si>
  <si>
    <t>17.11.3.2</t>
  </si>
  <si>
    <t>17.7.2.4.1</t>
  </si>
  <si>
    <t xml:space="preserve">17.7.2.5.1 </t>
  </si>
  <si>
    <t>Case 1:  No supplementary reinf. or edge reinf. smaller than 13mm.
Case 2:  Supplementary reinf. of 13mm or greater between the lug and the edge.
Case 3:  Supplementary reinf. of 13mm or greater betwwen the lug and the edge and the supplementary reinf. enclosed by stirrups spaced at less than 100mm</t>
  </si>
  <si>
    <r>
      <rPr>
        <sz val="10"/>
        <rFont val="Symbol"/>
        <family val="1"/>
        <charset val="2"/>
      </rPr>
      <t>Y</t>
    </r>
    <r>
      <rPr>
        <vertAlign val="subscript"/>
        <sz val="10"/>
        <rFont val="Arial"/>
        <family val="2"/>
      </rPr>
      <t>a</t>
    </r>
    <r>
      <rPr>
        <sz val="10"/>
        <rFont val="Arial"/>
        <family val="2"/>
      </rPr>
      <t>ϕ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</si>
</sst>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
    <numFmt numFmtId="166" formatCode="0.000E+00"/>
    <numFmt numFmtId="167" formatCode="&quot;$&quot;#,##0\ ;\(&quot;$&quot;#,##0\)"/>
    <numFmt numFmtId="168" formatCode="0.0"/>
    <numFmt numFmtId="169" formatCode="&quot;M&quot;General"/>
    <numFmt numFmtId="170" formatCode="&quot;M&quot;\ General"/>
  </numFmts>
  <fonts count="60">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0"/>
      <color indexed="10"/>
      <name val="Arial"/>
      <family val="2"/>
    </font>
    <font>
      <sz val="10"/>
      <color indexed="12"/>
      <name val="Arial"/>
      <family val="2"/>
    </font>
    <font>
      <b/>
      <sz val="10"/>
      <color indexed="12"/>
      <name val="Arial"/>
      <family val="2"/>
    </font>
    <font>
      <sz val="8"/>
      <color indexed="8"/>
      <name val="Arial"/>
      <family val="2"/>
    </font>
    <font>
      <sz val="10"/>
      <color indexed="8"/>
      <name val="Arial"/>
      <family val="2"/>
    </font>
    <font>
      <b/>
      <u/>
      <sz val="10"/>
      <name val="Arial"/>
      <family val="2"/>
    </font>
    <font>
      <sz val="10"/>
      <name val="Arial"/>
      <family val="2"/>
    </font>
    <font>
      <b/>
      <u/>
      <sz val="10"/>
      <color indexed="8"/>
      <name val="Arial"/>
      <family val="2"/>
    </font>
    <font>
      <sz val="10"/>
      <color indexed="24"/>
      <name val="Arial"/>
      <family val="2"/>
    </font>
    <font>
      <b/>
      <sz val="18"/>
      <color indexed="24"/>
      <name val="Arial"/>
      <family val="2"/>
    </font>
    <font>
      <b/>
      <sz val="12"/>
      <color indexed="24"/>
      <name val="Arial"/>
      <family val="2"/>
    </font>
    <font>
      <sz val="10"/>
      <color indexed="12"/>
      <name val="Symbol"/>
      <family val="1"/>
      <charset val="2"/>
    </font>
    <font>
      <sz val="8"/>
      <color indexed="12"/>
      <name val="Arial"/>
      <family val="2"/>
    </font>
    <font>
      <b/>
      <u/>
      <sz val="10"/>
      <color indexed="12"/>
      <name val="Arial"/>
      <family val="2"/>
    </font>
    <font>
      <sz val="10"/>
      <color indexed="10"/>
      <name val="Arial"/>
      <family val="2"/>
    </font>
    <font>
      <sz val="8"/>
      <name val="Arial"/>
      <family val="2"/>
    </font>
    <font>
      <u/>
      <sz val="10"/>
      <color indexed="12"/>
      <name val="Arial"/>
      <family val="2"/>
    </font>
    <font>
      <sz val="9"/>
      <color indexed="12"/>
      <name val="Arial"/>
      <family val="2"/>
    </font>
    <font>
      <vertAlign val="superscript"/>
      <sz val="8"/>
      <name val="Arial"/>
      <family val="2"/>
    </font>
    <font>
      <i/>
      <sz val="10"/>
      <name val="Arial"/>
      <family val="2"/>
    </font>
    <font>
      <vertAlign val="subscript"/>
      <sz val="10"/>
      <name val="Arial"/>
      <family val="2"/>
    </font>
    <font>
      <vertAlign val="subscript"/>
      <sz val="10"/>
      <color indexed="8"/>
      <name val="Arial"/>
      <family val="2"/>
    </font>
    <font>
      <i/>
      <sz val="8"/>
      <name val="Arial"/>
      <family val="2"/>
    </font>
    <font>
      <u/>
      <sz val="10"/>
      <name val="Arial"/>
      <family val="2"/>
    </font>
    <font>
      <sz val="9"/>
      <color indexed="10"/>
      <name val="Arial"/>
      <family val="2"/>
    </font>
    <font>
      <vertAlign val="subscript"/>
      <sz val="8"/>
      <name val="Arial"/>
      <family val="2"/>
    </font>
    <font>
      <vertAlign val="superscript"/>
      <sz val="10"/>
      <name val="Arial"/>
      <family val="2"/>
    </font>
    <font>
      <sz val="10"/>
      <name val="Symbol"/>
      <family val="1"/>
      <charset val="2"/>
    </font>
    <font>
      <vertAlign val="superscript"/>
      <sz val="10"/>
      <color indexed="8"/>
      <name val="Arial"/>
      <family val="2"/>
    </font>
    <font>
      <sz val="10"/>
      <color indexed="9"/>
      <name val="Calibri"/>
      <family val="2"/>
    </font>
    <font>
      <sz val="10"/>
      <color indexed="8"/>
      <name val="Symbol"/>
      <family val="1"/>
      <charset val="2"/>
    </font>
    <font>
      <sz val="11"/>
      <color theme="1"/>
      <name val="Calibri"/>
      <family val="2"/>
      <scheme val="minor"/>
    </font>
    <font>
      <sz val="10"/>
      <color theme="1"/>
      <name val="Calibri"/>
      <family val="2"/>
      <scheme val="minor"/>
    </font>
    <font>
      <sz val="10"/>
      <color rgb="FF0000FF"/>
      <name val="Arial"/>
      <family val="2"/>
    </font>
    <font>
      <sz val="10"/>
      <color theme="1"/>
      <name val="Arial"/>
      <family val="2"/>
    </font>
    <font>
      <sz val="8"/>
      <color theme="1"/>
      <name val="Arial"/>
      <family val="2"/>
    </font>
    <font>
      <sz val="10"/>
      <color rgb="FFFF0000"/>
      <name val="Arial"/>
      <family val="2"/>
    </font>
    <font>
      <sz val="7"/>
      <color theme="1"/>
      <name val="Arial"/>
      <family val="2"/>
    </font>
    <font>
      <b/>
      <sz val="10"/>
      <color theme="1"/>
      <name val="Arial"/>
      <family val="2"/>
    </font>
    <font>
      <sz val="10"/>
      <color theme="0"/>
      <name val="Arial"/>
      <family val="2"/>
    </font>
    <font>
      <sz val="8"/>
      <color theme="0" tint="-0.499984740745262"/>
      <name val="Arial"/>
      <family val="2"/>
    </font>
    <font>
      <b/>
      <sz val="8"/>
      <color theme="0" tint="-0.499984740745262"/>
      <name val="Arial"/>
      <family val="2"/>
    </font>
    <font>
      <sz val="8"/>
      <color indexed="10"/>
      <name val="Arial"/>
      <family val="2"/>
    </font>
    <font>
      <sz val="10"/>
      <name val="Arial"/>
      <family val="1"/>
      <charset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C00000"/>
        <bgColor indexed="64"/>
      </patternFill>
    </fill>
  </fills>
  <borders count="26">
    <border>
      <left/>
      <right/>
      <top/>
      <bottom/>
      <diagonal/>
    </border>
    <border>
      <left/>
      <right/>
      <top style="double">
        <color indexed="64"/>
      </top>
      <bottom/>
      <diagonal/>
    </border>
    <border>
      <left style="thin">
        <color indexed="64"/>
      </left>
      <right/>
      <top/>
      <bottom/>
      <diagonal/>
    </border>
    <border>
      <left/>
      <right style="thin">
        <color theme="0" tint="-0.249977111117893"/>
      </right>
      <top/>
      <bottom/>
      <diagonal/>
    </border>
    <border>
      <left style="medium">
        <color theme="0" tint="-0.499984740745262"/>
      </left>
      <right style="thin">
        <color theme="0" tint="-0.24994659260841701"/>
      </right>
      <top style="medium">
        <color theme="0" tint="-0.499984740745262"/>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style="thin">
        <color indexed="64"/>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style="thin">
        <color indexed="64"/>
      </left>
      <right style="thin">
        <color theme="0" tint="-0.249977111117893"/>
      </right>
      <top/>
      <bottom/>
      <diagonal/>
    </border>
    <border>
      <left style="thin">
        <color theme="0" tint="-0.249977111117893"/>
      </left>
      <right style="thin">
        <color indexed="64"/>
      </right>
      <top/>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indexed="64"/>
      </bottom>
      <diagonal/>
    </border>
    <border>
      <left style="thin">
        <color theme="0" tint="-0.249977111117893"/>
      </left>
      <right style="thin">
        <color indexed="64"/>
      </right>
      <top style="thin">
        <color theme="0" tint="-0.249977111117893"/>
      </top>
      <bottom style="thin">
        <color indexed="64"/>
      </bottom>
      <diagonal/>
    </border>
    <border>
      <left style="medium">
        <color theme="0" tint="-0.499984740745262"/>
      </left>
      <right style="thin">
        <color theme="0" tint="-0.24994659260841701"/>
      </right>
      <top style="thin">
        <color theme="0" tint="-0.24994659260841701"/>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medium">
        <color theme="1" tint="0.499984740745262"/>
      </left>
      <right style="thin">
        <color theme="0" tint="-0.14996795556505021"/>
      </right>
      <top style="thin">
        <color theme="0" tint="-0.24994659260841701"/>
      </top>
      <bottom style="thin">
        <color theme="0" tint="-0.24994659260841701"/>
      </bottom>
      <diagonal/>
    </border>
    <border>
      <left style="medium">
        <color theme="0" tint="-0.499984740745262"/>
      </left>
      <right style="thin">
        <color theme="0" tint="-0.24994659260841701"/>
      </right>
      <top style="medium">
        <color theme="0" tint="-0.499984740745262"/>
      </top>
      <bottom/>
      <diagonal/>
    </border>
  </borders>
  <cellStyleXfs count="28">
    <xf numFmtId="0" fontId="0" fillId="0" borderId="0"/>
    <xf numFmtId="3" fontId="24" fillId="0" borderId="0" applyFont="0" applyFill="0" applyBorder="0" applyAlignment="0" applyProtection="0"/>
    <xf numFmtId="167" fontId="24" fillId="0" borderId="0" applyFont="0" applyFill="0" applyBorder="0" applyAlignment="0" applyProtection="0"/>
    <xf numFmtId="0" fontId="24" fillId="0" borderId="0" applyFont="0" applyFill="0" applyBorder="0" applyAlignment="0" applyProtection="0"/>
    <xf numFmtId="2" fontId="24" fillId="0" borderId="0" applyFon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47" fillId="0" borderId="0"/>
    <xf numFmtId="0" fontId="22" fillId="0" borderId="0"/>
    <xf numFmtId="0" fontId="24" fillId="0" borderId="1" applyNumberFormat="0" applyFont="0" applyFill="0" applyAlignment="0" applyProtection="0"/>
    <xf numFmtId="0" fontId="13" fillId="0" borderId="0"/>
    <xf numFmtId="0" fontId="14"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2" fillId="0" borderId="0"/>
  </cellStyleXfs>
  <cellXfs count="179">
    <xf numFmtId="0" fontId="0" fillId="0" borderId="0" xfId="0"/>
    <xf numFmtId="0" fontId="17" fillId="2" borderId="0" xfId="11" applyFont="1" applyFill="1" applyAlignment="1" applyProtection="1">
      <alignment vertical="center"/>
      <protection hidden="1"/>
    </xf>
    <xf numFmtId="0" fontId="28" fillId="2" borderId="0" xfId="11" applyFont="1" applyFill="1" applyAlignment="1" applyProtection="1">
      <alignment horizontal="center" vertical="center"/>
      <protection hidden="1"/>
    </xf>
    <xf numFmtId="0" fontId="32" fillId="2" borderId="0" xfId="11" applyFont="1" applyFill="1" applyAlignment="1" applyProtection="1">
      <alignment vertical="center"/>
      <protection hidden="1"/>
    </xf>
    <xf numFmtId="0" fontId="14" fillId="2" borderId="0" xfId="11" applyFill="1" applyAlignment="1" applyProtection="1">
      <alignment vertical="center"/>
      <protection hidden="1"/>
    </xf>
    <xf numFmtId="0" fontId="30" fillId="2" borderId="0" xfId="11" applyFont="1" applyFill="1" applyAlignment="1" applyProtection="1">
      <alignment vertical="center"/>
      <protection hidden="1"/>
    </xf>
    <xf numFmtId="0" fontId="17" fillId="2" borderId="0" xfId="11" applyFont="1" applyFill="1" applyAlignment="1" applyProtection="1">
      <alignment horizontal="left" vertical="center"/>
      <protection hidden="1"/>
    </xf>
    <xf numFmtId="0" fontId="17" fillId="2" borderId="0" xfId="11" applyFont="1" applyFill="1" applyAlignment="1" applyProtection="1">
      <alignment horizontal="right" vertical="center"/>
      <protection hidden="1"/>
    </xf>
    <xf numFmtId="0" fontId="29" fillId="2" borderId="0" xfId="11" applyFont="1" applyFill="1" applyAlignment="1" applyProtection="1">
      <alignment vertical="center"/>
      <protection hidden="1"/>
    </xf>
    <xf numFmtId="0" fontId="20" fillId="2" borderId="0" xfId="11" applyFont="1" applyFill="1" applyAlignment="1" applyProtection="1">
      <alignment horizontal="center" vertical="center"/>
      <protection hidden="1"/>
    </xf>
    <xf numFmtId="0" fontId="30" fillId="2" borderId="0" xfId="11" applyFont="1" applyFill="1" applyAlignment="1" applyProtection="1">
      <alignment horizontal="center" vertical="center"/>
      <protection hidden="1"/>
    </xf>
    <xf numFmtId="0" fontId="18" fillId="2" borderId="0" xfId="11" applyFont="1" applyFill="1" applyAlignment="1" applyProtection="1">
      <alignment horizontal="center" vertical="center"/>
      <protection hidden="1"/>
    </xf>
    <xf numFmtId="166" fontId="17" fillId="2" borderId="0" xfId="11" applyNumberFormat="1" applyFont="1" applyFill="1" applyAlignment="1" applyProtection="1">
      <alignment vertical="center"/>
      <protection hidden="1"/>
    </xf>
    <xf numFmtId="0" fontId="27" fillId="2" borderId="0" xfId="11" applyFont="1" applyFill="1" applyAlignment="1" applyProtection="1">
      <alignment horizontal="right" vertical="center"/>
      <protection hidden="1"/>
    </xf>
    <xf numFmtId="0" fontId="20" fillId="2" borderId="2" xfId="11" applyFont="1" applyFill="1" applyBorder="1" applyAlignment="1" applyProtection="1">
      <alignment horizontal="right" vertical="center"/>
      <protection hidden="1"/>
    </xf>
    <xf numFmtId="165" fontId="17" fillId="2" borderId="0" xfId="11" applyNumberFormat="1" applyFont="1" applyFill="1" applyAlignment="1" applyProtection="1">
      <alignment horizontal="right" vertical="center"/>
      <protection hidden="1"/>
    </xf>
    <xf numFmtId="0" fontId="18" fillId="2" borderId="0" xfId="11" applyFont="1" applyFill="1" applyAlignment="1" applyProtection="1">
      <alignment horizontal="right" vertical="center"/>
      <protection hidden="1"/>
    </xf>
    <xf numFmtId="0" fontId="14" fillId="2" borderId="0" xfId="11" applyFill="1" applyAlignment="1" applyProtection="1">
      <alignment horizontal="center" vertical="center"/>
      <protection hidden="1"/>
    </xf>
    <xf numFmtId="14" fontId="14" fillId="2" borderId="0" xfId="11" applyNumberFormat="1" applyFill="1" applyAlignment="1" applyProtection="1">
      <alignment horizontal="center" vertical="center"/>
      <protection hidden="1"/>
    </xf>
    <xf numFmtId="18" fontId="14" fillId="2" borderId="0" xfId="11" applyNumberFormat="1" applyFill="1" applyAlignment="1" applyProtection="1">
      <alignment horizontal="center" vertical="center"/>
      <protection hidden="1"/>
    </xf>
    <xf numFmtId="166" fontId="17" fillId="2" borderId="0" xfId="11" applyNumberFormat="1" applyFont="1" applyFill="1" applyAlignment="1" applyProtection="1">
      <alignment horizontal="right" vertical="center"/>
      <protection hidden="1"/>
    </xf>
    <xf numFmtId="2" fontId="17" fillId="2" borderId="0" xfId="17" applyNumberFormat="1" applyFont="1" applyFill="1" applyAlignment="1" applyProtection="1">
      <alignment horizontal="center" vertical="center"/>
      <protection hidden="1"/>
    </xf>
    <xf numFmtId="165" fontId="30" fillId="2" borderId="0" xfId="11" applyNumberFormat="1" applyFont="1" applyFill="1" applyAlignment="1" applyProtection="1">
      <alignment horizontal="center" vertical="center"/>
      <protection hidden="1"/>
    </xf>
    <xf numFmtId="0" fontId="31" fillId="2" borderId="0" xfId="17" applyFont="1" applyFill="1" applyAlignment="1">
      <alignment vertical="center"/>
    </xf>
    <xf numFmtId="2" fontId="17" fillId="2" borderId="0" xfId="11" applyNumberFormat="1" applyFont="1" applyFill="1" applyAlignment="1" applyProtection="1">
      <alignment horizontal="right" vertical="center"/>
      <protection hidden="1"/>
    </xf>
    <xf numFmtId="0" fontId="23" fillId="2" borderId="0" xfId="17" applyFont="1" applyFill="1" applyAlignment="1" applyProtection="1">
      <alignment vertical="center"/>
      <protection hidden="1"/>
    </xf>
    <xf numFmtId="11" fontId="17" fillId="2" borderId="0" xfId="17" applyNumberFormat="1" applyFont="1" applyFill="1" applyAlignment="1" applyProtection="1">
      <alignment horizontal="center" vertical="center"/>
      <protection hidden="1"/>
    </xf>
    <xf numFmtId="169" fontId="17" fillId="2" borderId="0" xfId="11" applyNumberFormat="1" applyFont="1" applyFill="1" applyAlignment="1" applyProtection="1">
      <alignment vertical="center"/>
      <protection hidden="1"/>
    </xf>
    <xf numFmtId="166" fontId="20" fillId="2" borderId="0" xfId="11" applyNumberFormat="1" applyFont="1" applyFill="1" applyAlignment="1" applyProtection="1">
      <alignment horizontal="center" vertical="center"/>
      <protection hidden="1"/>
    </xf>
    <xf numFmtId="166" fontId="19" fillId="2" borderId="0" xfId="11" applyNumberFormat="1" applyFont="1" applyFill="1" applyAlignment="1" applyProtection="1">
      <alignment horizontal="center" vertical="center"/>
      <protection hidden="1"/>
    </xf>
    <xf numFmtId="0" fontId="33" fillId="2" borderId="0" xfId="11" applyFont="1" applyFill="1" applyAlignment="1" applyProtection="1">
      <alignment vertical="center"/>
      <protection hidden="1"/>
    </xf>
    <xf numFmtId="0" fontId="20" fillId="2" borderId="0" xfId="11" applyFont="1" applyFill="1" applyAlignment="1" applyProtection="1">
      <alignment vertical="center"/>
      <protection hidden="1"/>
    </xf>
    <xf numFmtId="0" fontId="31" fillId="2" borderId="0" xfId="11" applyFont="1" applyFill="1" applyAlignment="1" applyProtection="1">
      <alignment horizontal="right" vertical="center"/>
      <protection hidden="1"/>
    </xf>
    <xf numFmtId="0" fontId="31" fillId="2" borderId="0" xfId="11" applyFont="1" applyFill="1" applyAlignment="1" applyProtection="1">
      <alignment vertical="center"/>
      <protection hidden="1"/>
    </xf>
    <xf numFmtId="0" fontId="14" fillId="2" borderId="0" xfId="11" applyFill="1" applyAlignment="1" applyProtection="1">
      <alignment horizontal="right" vertical="center"/>
      <protection hidden="1"/>
    </xf>
    <xf numFmtId="0" fontId="21" fillId="2" borderId="0" xfId="11" applyFont="1" applyFill="1" applyAlignment="1" applyProtection="1">
      <alignment vertical="center"/>
      <protection hidden="1"/>
    </xf>
    <xf numFmtId="0" fontId="20" fillId="2" borderId="0" xfId="11" applyFont="1" applyFill="1" applyAlignment="1" applyProtection="1">
      <alignment horizontal="right" vertical="center"/>
      <protection hidden="1"/>
    </xf>
    <xf numFmtId="0" fontId="46" fillId="2" borderId="0" xfId="11" applyFont="1" applyFill="1" applyAlignment="1" applyProtection="1">
      <alignment horizontal="right" vertical="center"/>
      <protection hidden="1"/>
    </xf>
    <xf numFmtId="0" fontId="14" fillId="0" borderId="0" xfId="11" applyAlignment="1" applyProtection="1">
      <alignment horizontal="centerContinuous" vertical="center"/>
      <protection hidden="1"/>
    </xf>
    <xf numFmtId="0" fontId="15" fillId="0" borderId="0" xfId="11" applyFont="1" applyAlignment="1" applyProtection="1">
      <alignment horizontal="centerContinuous" vertical="center"/>
      <protection hidden="1"/>
    </xf>
    <xf numFmtId="0" fontId="17" fillId="2" borderId="3" xfId="11" applyFont="1" applyFill="1" applyBorder="1" applyAlignment="1" applyProtection="1">
      <alignment horizontal="center" vertical="center"/>
      <protection hidden="1"/>
    </xf>
    <xf numFmtId="0" fontId="17" fillId="2" borderId="3" xfId="11" applyFont="1" applyFill="1" applyBorder="1" applyAlignment="1" applyProtection="1">
      <alignment vertical="center"/>
      <protection hidden="1"/>
    </xf>
    <xf numFmtId="2" fontId="17" fillId="2" borderId="3" xfId="11" applyNumberFormat="1" applyFont="1" applyFill="1" applyBorder="1" applyAlignment="1" applyProtection="1">
      <alignment horizontal="center" vertical="center"/>
      <protection hidden="1"/>
    </xf>
    <xf numFmtId="165" fontId="17" fillId="2" borderId="3" xfId="11" applyNumberFormat="1" applyFont="1" applyFill="1" applyBorder="1" applyAlignment="1" applyProtection="1">
      <alignment horizontal="center" vertical="center"/>
      <protection hidden="1"/>
    </xf>
    <xf numFmtId="0" fontId="17" fillId="0" borderId="4" xfId="11" applyFont="1" applyBorder="1" applyAlignment="1" applyProtection="1">
      <alignment horizontal="center" vertical="center"/>
      <protection locked="0"/>
    </xf>
    <xf numFmtId="0" fontId="17" fillId="3" borderId="5" xfId="11" applyFont="1" applyFill="1" applyBorder="1" applyAlignment="1" applyProtection="1">
      <alignment horizontal="center" vertical="center"/>
      <protection locked="0" hidden="1"/>
    </xf>
    <xf numFmtId="0" fontId="17" fillId="3" borderId="5" xfId="11" applyFont="1" applyFill="1" applyBorder="1" applyAlignment="1" applyProtection="1">
      <alignment horizontal="center" vertical="center"/>
      <protection locked="0"/>
    </xf>
    <xf numFmtId="0" fontId="17" fillId="3" borderId="4" xfId="11" applyFont="1" applyFill="1" applyBorder="1" applyAlignment="1" applyProtection="1">
      <alignment horizontal="center" vertical="center"/>
      <protection locked="0"/>
    </xf>
    <xf numFmtId="1" fontId="28" fillId="0" borderId="5" xfId="27" applyNumberFormat="1" applyFont="1" applyBorder="1" applyAlignment="1" applyProtection="1">
      <alignment horizontal="center" vertical="center"/>
      <protection locked="0"/>
    </xf>
    <xf numFmtId="0" fontId="49" fillId="3" borderId="4" xfId="27" applyFont="1" applyFill="1" applyBorder="1" applyAlignment="1" applyProtection="1">
      <alignment horizontal="center" vertical="center"/>
      <protection locked="0"/>
    </xf>
    <xf numFmtId="0" fontId="49" fillId="3" borderId="5" xfId="27" applyFont="1" applyFill="1" applyBorder="1" applyAlignment="1" applyProtection="1">
      <alignment horizontal="center" vertical="center"/>
      <protection locked="0"/>
    </xf>
    <xf numFmtId="0" fontId="14" fillId="2" borderId="7" xfId="11" applyFill="1" applyBorder="1" applyAlignment="1" applyProtection="1">
      <alignment vertical="center"/>
      <protection hidden="1"/>
    </xf>
    <xf numFmtId="0" fontId="14" fillId="2" borderId="6" xfId="11" applyFill="1" applyBorder="1" applyAlignment="1" applyProtection="1">
      <alignment vertical="center"/>
      <protection hidden="1"/>
    </xf>
    <xf numFmtId="165" fontId="17" fillId="2" borderId="8" xfId="11" applyNumberFormat="1" applyFont="1" applyFill="1" applyBorder="1" applyAlignment="1" applyProtection="1">
      <alignment horizontal="center" vertical="center"/>
      <protection hidden="1"/>
    </xf>
    <xf numFmtId="0" fontId="14" fillId="2" borderId="9" xfId="11" applyFill="1" applyBorder="1" applyAlignment="1" applyProtection="1">
      <alignment vertical="center"/>
      <protection hidden="1"/>
    </xf>
    <xf numFmtId="166" fontId="17" fillId="2" borderId="3" xfId="11" applyNumberFormat="1" applyFont="1" applyFill="1" applyBorder="1" applyAlignment="1" applyProtection="1">
      <alignment vertical="center"/>
      <protection hidden="1"/>
    </xf>
    <xf numFmtId="1" fontId="14" fillId="2" borderId="0" xfId="11" applyNumberFormat="1" applyFill="1" applyAlignment="1" applyProtection="1">
      <alignment horizontal="center" vertical="center"/>
      <protection hidden="1"/>
    </xf>
    <xf numFmtId="0" fontId="14" fillId="2" borderId="0" xfId="27" applyFont="1" applyFill="1" applyAlignment="1" applyProtection="1">
      <alignment vertical="center"/>
      <protection hidden="1"/>
    </xf>
    <xf numFmtId="170" fontId="56" fillId="2" borderId="16" xfId="27" applyNumberFormat="1" applyFont="1" applyFill="1" applyBorder="1" applyAlignment="1" applyProtection="1">
      <alignment horizontal="center" vertical="center"/>
      <protection hidden="1"/>
    </xf>
    <xf numFmtId="1" fontId="56" fillId="2" borderId="17" xfId="27" applyNumberFormat="1" applyFont="1" applyFill="1" applyBorder="1" applyAlignment="1" applyProtection="1">
      <alignment horizontal="center" vertical="center"/>
      <protection hidden="1"/>
    </xf>
    <xf numFmtId="170" fontId="57" fillId="2" borderId="16" xfId="27" applyNumberFormat="1" applyFont="1" applyFill="1" applyBorder="1" applyAlignment="1" applyProtection="1">
      <alignment horizontal="center" vertical="center"/>
      <protection hidden="1"/>
    </xf>
    <xf numFmtId="1" fontId="57" fillId="2" borderId="17" xfId="27" applyNumberFormat="1" applyFont="1" applyFill="1" applyBorder="1" applyAlignment="1" applyProtection="1">
      <alignment horizontal="center" vertical="center"/>
      <protection hidden="1"/>
    </xf>
    <xf numFmtId="170" fontId="57" fillId="2" borderId="18" xfId="27" applyNumberFormat="1" applyFont="1" applyFill="1" applyBorder="1" applyAlignment="1" applyProtection="1">
      <alignment horizontal="center" vertical="center"/>
      <protection hidden="1"/>
    </xf>
    <xf numFmtId="1" fontId="57" fillId="2" borderId="19" xfId="27" applyNumberFormat="1" applyFont="1" applyFill="1" applyBorder="1" applyAlignment="1" applyProtection="1">
      <alignment horizontal="center" vertical="center"/>
      <protection hidden="1"/>
    </xf>
    <xf numFmtId="0" fontId="56" fillId="2" borderId="17" xfId="27" applyFont="1" applyFill="1" applyBorder="1" applyAlignment="1" applyProtection="1">
      <alignment horizontal="center" vertical="center"/>
      <protection hidden="1"/>
    </xf>
    <xf numFmtId="170" fontId="56" fillId="2" borderId="18" xfId="27" applyNumberFormat="1" applyFont="1" applyFill="1" applyBorder="1" applyAlignment="1" applyProtection="1">
      <alignment horizontal="center" vertical="center"/>
      <protection hidden="1"/>
    </xf>
    <xf numFmtId="0" fontId="56" fillId="2" borderId="19" xfId="27" applyFont="1" applyFill="1" applyBorder="1" applyAlignment="1" applyProtection="1">
      <alignment horizontal="center" vertical="center"/>
      <protection hidden="1"/>
    </xf>
    <xf numFmtId="2" fontId="14" fillId="2" borderId="0" xfId="17" applyNumberFormat="1" applyFont="1" applyFill="1" applyAlignment="1" applyProtection="1">
      <alignment horizontal="center" vertical="center"/>
      <protection hidden="1"/>
    </xf>
    <xf numFmtId="11" fontId="14" fillId="2" borderId="0" xfId="17" applyNumberFormat="1" applyFont="1" applyFill="1" applyAlignment="1" applyProtection="1">
      <alignment horizontal="center" vertical="center"/>
      <protection hidden="1"/>
    </xf>
    <xf numFmtId="11" fontId="14" fillId="2" borderId="0" xfId="11" applyNumberFormat="1" applyFill="1" applyAlignment="1" applyProtection="1">
      <alignment horizontal="center" vertical="center"/>
      <protection hidden="1"/>
    </xf>
    <xf numFmtId="2" fontId="14" fillId="2" borderId="0" xfId="11" applyNumberFormat="1" applyFill="1" applyAlignment="1" applyProtection="1">
      <alignment horizontal="center" vertical="center"/>
      <protection hidden="1"/>
    </xf>
    <xf numFmtId="1" fontId="14" fillId="2" borderId="0" xfId="17" applyNumberFormat="1" applyFont="1" applyFill="1" applyAlignment="1" applyProtection="1">
      <alignment horizontal="center" vertical="center"/>
      <protection hidden="1"/>
    </xf>
    <xf numFmtId="0" fontId="17" fillId="0" borderId="20" xfId="27" applyFont="1" applyBorder="1" applyAlignment="1" applyProtection="1">
      <alignment horizontal="center" vertical="center"/>
      <protection locked="0"/>
    </xf>
    <xf numFmtId="0" fontId="17" fillId="2" borderId="6" xfId="11" applyFont="1" applyFill="1" applyBorder="1" applyAlignment="1" applyProtection="1">
      <alignment vertical="center"/>
      <protection hidden="1"/>
    </xf>
    <xf numFmtId="0" fontId="17" fillId="2" borderId="8" xfId="11" applyFont="1" applyFill="1" applyBorder="1" applyAlignment="1" applyProtection="1">
      <alignment horizontal="center" vertical="center"/>
      <protection hidden="1"/>
    </xf>
    <xf numFmtId="0" fontId="15" fillId="2" borderId="0" xfId="11" applyFont="1" applyFill="1" applyAlignment="1" applyProtection="1">
      <alignment vertical="center"/>
      <protection hidden="1"/>
    </xf>
    <xf numFmtId="0" fontId="2" fillId="2" borderId="0" xfId="27" applyFill="1"/>
    <xf numFmtId="0" fontId="17" fillId="2" borderId="0" xfId="11" applyFont="1" applyFill="1" applyAlignment="1">
      <alignment vertical="center"/>
    </xf>
    <xf numFmtId="165" fontId="20" fillId="2" borderId="0" xfId="11" applyNumberFormat="1" applyFont="1" applyFill="1" applyAlignment="1" applyProtection="1">
      <alignment horizontal="center" vertical="center"/>
      <protection hidden="1"/>
    </xf>
    <xf numFmtId="0" fontId="33" fillId="2" borderId="0" xfId="11" applyFont="1" applyFill="1" applyAlignment="1" applyProtection="1">
      <alignment horizontal="left" vertical="center"/>
      <protection hidden="1"/>
    </xf>
    <xf numFmtId="165" fontId="33" fillId="2" borderId="0" xfId="11" applyNumberFormat="1" applyFont="1" applyFill="1" applyAlignment="1" applyProtection="1">
      <alignment horizontal="left" vertical="center"/>
      <protection hidden="1"/>
    </xf>
    <xf numFmtId="165" fontId="33" fillId="2" borderId="0" xfId="11" applyNumberFormat="1" applyFont="1" applyFill="1" applyAlignment="1" applyProtection="1">
      <alignment horizontal="right" vertical="center"/>
      <protection hidden="1"/>
    </xf>
    <xf numFmtId="165" fontId="20" fillId="2" borderId="0" xfId="11" applyNumberFormat="1" applyFont="1" applyFill="1" applyAlignment="1" applyProtection="1">
      <alignment vertical="center"/>
      <protection hidden="1"/>
    </xf>
    <xf numFmtId="0" fontId="33" fillId="2" borderId="0" xfId="11" applyFont="1" applyFill="1" applyAlignment="1" applyProtection="1">
      <alignment horizontal="right" vertical="center"/>
      <protection hidden="1"/>
    </xf>
    <xf numFmtId="164" fontId="20" fillId="2" borderId="0" xfId="11" applyNumberFormat="1" applyFont="1" applyFill="1" applyAlignment="1" applyProtection="1">
      <alignment horizontal="center" vertical="center"/>
      <protection hidden="1"/>
    </xf>
    <xf numFmtId="0" fontId="49" fillId="2" borderId="0" xfId="11" applyFont="1" applyFill="1" applyAlignment="1" applyProtection="1">
      <alignment horizontal="center" vertical="center"/>
      <protection hidden="1"/>
    </xf>
    <xf numFmtId="0" fontId="20" fillId="2" borderId="0" xfId="11" applyFont="1" applyFill="1" applyAlignment="1" applyProtection="1">
      <alignment horizontal="left" vertical="center"/>
      <protection hidden="1"/>
    </xf>
    <xf numFmtId="0" fontId="31" fillId="2" borderId="0" xfId="11" applyFont="1" applyFill="1" applyAlignment="1" applyProtection="1">
      <alignment horizontal="left" vertical="center"/>
      <protection hidden="1"/>
    </xf>
    <xf numFmtId="164" fontId="20" fillId="2" borderId="0" xfId="11" applyNumberFormat="1" applyFont="1" applyFill="1" applyAlignment="1" applyProtection="1">
      <alignment vertical="center"/>
      <protection hidden="1"/>
    </xf>
    <xf numFmtId="2" fontId="33" fillId="2" borderId="0" xfId="11" applyNumberFormat="1" applyFont="1" applyFill="1" applyAlignment="1" applyProtection="1">
      <alignment horizontal="left" vertical="center"/>
      <protection hidden="1"/>
    </xf>
    <xf numFmtId="0" fontId="14" fillId="2" borderId="0" xfId="11" applyFill="1" applyAlignment="1" applyProtection="1">
      <alignment horizontal="right"/>
      <protection hidden="1"/>
    </xf>
    <xf numFmtId="0" fontId="19" fillId="2" borderId="0" xfId="11" applyFont="1" applyFill="1" applyAlignment="1" applyProtection="1">
      <alignment vertical="center"/>
      <protection hidden="1"/>
    </xf>
    <xf numFmtId="0" fontId="15" fillId="2" borderId="0" xfId="11" applyFont="1" applyFill="1" applyAlignment="1" applyProtection="1">
      <alignment horizontal="left" vertical="center"/>
      <protection hidden="1"/>
    </xf>
    <xf numFmtId="0" fontId="14" fillId="2" borderId="21" xfId="11" applyFill="1" applyBorder="1" applyAlignment="1" applyProtection="1">
      <alignment vertical="center"/>
      <protection hidden="1"/>
    </xf>
    <xf numFmtId="0" fontId="14" fillId="2" borderId="22" xfId="11" applyFill="1" applyBorder="1" applyAlignment="1" applyProtection="1">
      <alignment vertical="center"/>
      <protection hidden="1"/>
    </xf>
    <xf numFmtId="0" fontId="17" fillId="2" borderId="22" xfId="11" applyFont="1" applyFill="1" applyBorder="1" applyAlignment="1" applyProtection="1">
      <alignment vertical="center"/>
      <protection hidden="1"/>
    </xf>
    <xf numFmtId="0" fontId="14" fillId="2" borderId="0" xfId="11" quotePrefix="1" applyFill="1" applyAlignment="1" applyProtection="1">
      <alignment vertical="center"/>
      <protection hidden="1"/>
    </xf>
    <xf numFmtId="168" fontId="14" fillId="2" borderId="0" xfId="11" applyNumberFormat="1" applyFill="1" applyAlignment="1" applyProtection="1">
      <alignment horizontal="center" vertical="center"/>
      <protection hidden="1"/>
    </xf>
    <xf numFmtId="0" fontId="36" fillId="2" borderId="0" xfId="11" quotePrefix="1" applyFont="1" applyFill="1" applyAlignment="1" applyProtection="1">
      <alignment vertical="center"/>
      <protection hidden="1"/>
    </xf>
    <xf numFmtId="0" fontId="20" fillId="2" borderId="0" xfId="11" quotePrefix="1" applyFont="1" applyFill="1" applyAlignment="1" applyProtection="1">
      <alignment vertical="center"/>
      <protection hidden="1"/>
    </xf>
    <xf numFmtId="11" fontId="17" fillId="2" borderId="3" xfId="11" applyNumberFormat="1" applyFont="1" applyFill="1" applyBorder="1" applyAlignment="1" applyProtection="1">
      <alignment vertical="center"/>
      <protection hidden="1"/>
    </xf>
    <xf numFmtId="0" fontId="17" fillId="2" borderId="23" xfId="11" applyFont="1" applyFill="1" applyBorder="1" applyAlignment="1" applyProtection="1">
      <alignment vertical="center"/>
      <protection hidden="1"/>
    </xf>
    <xf numFmtId="0" fontId="17" fillId="0" borderId="4" xfId="17" applyFont="1" applyBorder="1" applyAlignment="1" applyProtection="1">
      <alignment horizontal="center" vertical="center"/>
      <protection locked="0"/>
    </xf>
    <xf numFmtId="0" fontId="17" fillId="0" borderId="5" xfId="17" applyFont="1" applyBorder="1" applyAlignment="1" applyProtection="1">
      <alignment horizontal="center" vertical="center"/>
      <protection locked="0"/>
    </xf>
    <xf numFmtId="0" fontId="17" fillId="3" borderId="25" xfId="11" applyFont="1" applyFill="1" applyBorder="1" applyAlignment="1" applyProtection="1">
      <alignment horizontal="center" vertical="center"/>
      <protection locked="0"/>
    </xf>
    <xf numFmtId="0" fontId="49" fillId="3" borderId="24" xfId="0" applyFont="1" applyFill="1" applyBorder="1" applyAlignment="1" applyProtection="1">
      <alignment horizontal="center" vertical="center"/>
      <protection locked="0"/>
    </xf>
    <xf numFmtId="0" fontId="15" fillId="2" borderId="0" xfId="11" applyFont="1" applyFill="1" applyAlignment="1" applyProtection="1">
      <alignment horizontal="center" vertical="center"/>
      <protection hidden="1"/>
    </xf>
    <xf numFmtId="0" fontId="15" fillId="2" borderId="6" xfId="11" applyFont="1" applyFill="1" applyBorder="1" applyAlignment="1" applyProtection="1">
      <alignment horizontal="center" vertical="center"/>
      <protection hidden="1"/>
    </xf>
    <xf numFmtId="0" fontId="15" fillId="3" borderId="0" xfId="0" applyFont="1" applyFill="1" applyAlignment="1" applyProtection="1">
      <alignment horizontal="center" vertical="center"/>
      <protection hidden="1"/>
    </xf>
    <xf numFmtId="0" fontId="15" fillId="3" borderId="6" xfId="0" applyFont="1" applyFill="1" applyBorder="1" applyAlignment="1" applyProtection="1">
      <alignment horizontal="center" vertical="center"/>
      <protection hidden="1"/>
    </xf>
    <xf numFmtId="0" fontId="38" fillId="0" borderId="0" xfId="17" applyFont="1" applyAlignment="1">
      <alignment vertical="center" wrapText="1"/>
    </xf>
    <xf numFmtId="0" fontId="17" fillId="0" borderId="0" xfId="17" applyFont="1" applyAlignment="1">
      <alignment vertical="center"/>
    </xf>
    <xf numFmtId="1" fontId="17" fillId="0" borderId="5" xfId="27" applyNumberFormat="1" applyFont="1" applyBorder="1" applyAlignment="1" applyProtection="1">
      <alignment horizontal="center" vertical="center"/>
      <protection locked="0"/>
    </xf>
    <xf numFmtId="0" fontId="15" fillId="2" borderId="0" xfId="11" applyFont="1" applyFill="1" applyBorder="1" applyAlignment="1" applyProtection="1">
      <alignment vertical="center"/>
      <protection hidden="1"/>
    </xf>
    <xf numFmtId="0" fontId="16" fillId="0" borderId="0" xfId="11" applyFont="1" applyBorder="1" applyAlignment="1" applyProtection="1">
      <alignment horizontal="centerContinuous" vertical="center"/>
      <protection hidden="1"/>
    </xf>
    <xf numFmtId="0" fontId="17" fillId="2" borderId="0" xfId="11" applyFont="1" applyFill="1" applyBorder="1" applyAlignment="1" applyProtection="1">
      <alignment vertical="center"/>
      <protection hidden="1"/>
    </xf>
    <xf numFmtId="0" fontId="15" fillId="2" borderId="0" xfId="11" applyFont="1" applyFill="1" applyBorder="1" applyAlignment="1" applyProtection="1">
      <alignment horizontal="center" vertical="center"/>
      <protection hidden="1"/>
    </xf>
    <xf numFmtId="0" fontId="14" fillId="0" borderId="0" xfId="11" applyBorder="1" applyAlignment="1" applyProtection="1">
      <alignment horizontal="center" vertical="center"/>
      <protection hidden="1"/>
    </xf>
    <xf numFmtId="0" fontId="14" fillId="2" borderId="0" xfId="11" applyFill="1" applyBorder="1" applyAlignment="1" applyProtection="1">
      <alignment vertical="center"/>
      <protection hidden="1"/>
    </xf>
    <xf numFmtId="0" fontId="20" fillId="2" borderId="0" xfId="11" applyFont="1" applyFill="1" applyBorder="1" applyAlignment="1" applyProtection="1">
      <alignment horizontal="right" vertical="center"/>
      <protection hidden="1"/>
    </xf>
    <xf numFmtId="0" fontId="20" fillId="2" borderId="0" xfId="11" applyFont="1" applyFill="1" applyBorder="1" applyAlignment="1" applyProtection="1">
      <alignment vertical="center"/>
      <protection hidden="1"/>
    </xf>
    <xf numFmtId="0" fontId="14" fillId="2" borderId="0" xfId="11" applyFill="1" applyBorder="1" applyAlignment="1" applyProtection="1">
      <alignment horizontal="right" vertical="center"/>
      <protection hidden="1"/>
    </xf>
    <xf numFmtId="0" fontId="31" fillId="2" borderId="0" xfId="11" applyFont="1" applyFill="1" applyBorder="1" applyAlignment="1" applyProtection="1">
      <alignment vertical="center"/>
      <protection hidden="1"/>
    </xf>
    <xf numFmtId="0" fontId="23" fillId="2" borderId="0" xfId="11" applyFont="1" applyFill="1" applyBorder="1" applyAlignment="1" applyProtection="1">
      <alignment vertical="center"/>
      <protection hidden="1"/>
    </xf>
    <xf numFmtId="0" fontId="14" fillId="3" borderId="0" xfId="0" applyFont="1" applyFill="1" applyBorder="1" applyAlignment="1" applyProtection="1">
      <alignment horizontal="right" vertical="center"/>
      <protection hidden="1"/>
    </xf>
    <xf numFmtId="0" fontId="14" fillId="2" borderId="0" xfId="11" applyFill="1" applyBorder="1" applyAlignment="1" applyProtection="1">
      <alignment horizontal="right"/>
      <protection hidden="1"/>
    </xf>
    <xf numFmtId="0" fontId="21" fillId="2" borderId="0" xfId="11" applyFont="1" applyFill="1" applyBorder="1" applyAlignment="1" applyProtection="1">
      <alignment vertical="center"/>
      <protection hidden="1"/>
    </xf>
    <xf numFmtId="164" fontId="20" fillId="2" borderId="0" xfId="11" applyNumberFormat="1" applyFont="1" applyFill="1" applyBorder="1" applyAlignment="1" applyProtection="1">
      <alignment horizontal="right" vertical="center"/>
      <protection hidden="1"/>
    </xf>
    <xf numFmtId="0" fontId="17" fillId="0" borderId="20" xfId="17" applyFont="1" applyBorder="1" applyAlignment="1" applyProtection="1">
      <alignment horizontal="center" vertical="center"/>
      <protection locked="0"/>
    </xf>
    <xf numFmtId="0" fontId="20" fillId="2" borderId="0" xfId="11" quotePrefix="1" applyFont="1" applyFill="1" applyBorder="1" applyAlignment="1" applyProtection="1">
      <alignment horizontal="left" vertical="center"/>
      <protection hidden="1"/>
    </xf>
    <xf numFmtId="168" fontId="14" fillId="2" borderId="0" xfId="17" applyNumberFormat="1" applyFont="1" applyFill="1" applyAlignment="1" applyProtection="1">
      <alignment horizontal="center" vertical="center"/>
      <protection hidden="1"/>
    </xf>
    <xf numFmtId="0" fontId="28" fillId="2" borderId="0" xfId="11" applyFont="1" applyFill="1" applyAlignment="1" applyProtection="1">
      <alignment horizontal="right" vertical="center"/>
      <protection hidden="1"/>
    </xf>
    <xf numFmtId="0" fontId="1" fillId="2" borderId="0" xfId="27" applyFont="1" applyFill="1" applyAlignment="1" applyProtection="1">
      <alignment vertical="center"/>
    </xf>
    <xf numFmtId="0" fontId="2" fillId="2" borderId="0" xfId="27" applyFill="1" applyBorder="1" applyProtection="1"/>
    <xf numFmtId="0" fontId="55" fillId="4" borderId="10" xfId="11" applyFont="1" applyFill="1" applyBorder="1" applyAlignment="1" applyProtection="1">
      <alignment horizontal="center" vertical="center"/>
    </xf>
    <xf numFmtId="0" fontId="55" fillId="4" borderId="11" xfId="11" applyFont="1" applyFill="1" applyBorder="1" applyAlignment="1" applyProtection="1">
      <alignment horizontal="center" vertical="center"/>
    </xf>
    <xf numFmtId="0" fontId="14" fillId="2" borderId="0" xfId="27" applyFont="1" applyFill="1" applyBorder="1" applyAlignment="1" applyProtection="1">
      <alignment horizontal="right" vertical="center"/>
    </xf>
    <xf numFmtId="0" fontId="55" fillId="4" borderId="12" xfId="11" applyFont="1" applyFill="1" applyBorder="1" applyAlignment="1" applyProtection="1">
      <alignment horizontal="center" vertical="center"/>
    </xf>
    <xf numFmtId="0" fontId="55" fillId="4" borderId="13" xfId="11" applyFont="1" applyFill="1" applyBorder="1" applyAlignment="1" applyProtection="1">
      <alignment horizontal="center" vertical="center"/>
    </xf>
    <xf numFmtId="49" fontId="17" fillId="0" borderId="0" xfId="11" quotePrefix="1" applyNumberFormat="1" applyFont="1" applyBorder="1" applyAlignment="1" applyProtection="1">
      <alignment horizontal="left" vertical="center"/>
    </xf>
    <xf numFmtId="49" fontId="17" fillId="0" borderId="0" xfId="11" applyNumberFormat="1" applyFont="1" applyBorder="1" applyAlignment="1" applyProtection="1">
      <alignment vertical="center"/>
    </xf>
    <xf numFmtId="0" fontId="15" fillId="0" borderId="0" xfId="11" applyFont="1" applyBorder="1" applyAlignment="1" applyProtection="1">
      <alignment horizontal="left" vertical="center"/>
    </xf>
    <xf numFmtId="0" fontId="17" fillId="2" borderId="0" xfId="11" applyFont="1" applyFill="1" applyBorder="1" applyAlignment="1" applyProtection="1">
      <alignment vertical="center"/>
    </xf>
    <xf numFmtId="0" fontId="55" fillId="4" borderId="14" xfId="11" applyFont="1" applyFill="1" applyBorder="1" applyAlignment="1" applyProtection="1">
      <alignment horizontal="center" vertical="center"/>
    </xf>
    <xf numFmtId="0" fontId="55" fillId="4" borderId="15" xfId="11" applyFont="1" applyFill="1" applyBorder="1" applyAlignment="1" applyProtection="1">
      <alignment horizontal="center" vertical="center"/>
    </xf>
    <xf numFmtId="0" fontId="48" fillId="2" borderId="0" xfId="17" applyFont="1" applyFill="1" applyAlignment="1" applyProtection="1">
      <alignment vertical="center"/>
    </xf>
    <xf numFmtId="0" fontId="54" fillId="0" borderId="0" xfId="11" applyFont="1" applyBorder="1" applyAlignment="1" applyProtection="1">
      <alignment vertical="center"/>
    </xf>
    <xf numFmtId="0" fontId="38" fillId="0" borderId="0" xfId="17" applyFont="1" applyBorder="1" applyAlignment="1" applyProtection="1">
      <alignment vertical="center" wrapText="1"/>
    </xf>
    <xf numFmtId="0" fontId="38" fillId="2" borderId="0" xfId="17" applyFont="1" applyFill="1" applyAlignment="1" applyProtection="1">
      <alignment vertical="center" wrapText="1"/>
    </xf>
    <xf numFmtId="0" fontId="31" fillId="2" borderId="0" xfId="19" applyFont="1" applyFill="1" applyBorder="1" applyAlignment="1" applyProtection="1">
      <alignment vertical="center"/>
    </xf>
    <xf numFmtId="0" fontId="50" fillId="2" borderId="0" xfId="17" applyFont="1" applyFill="1" applyAlignment="1" applyProtection="1">
      <alignment vertical="center"/>
    </xf>
    <xf numFmtId="0" fontId="54" fillId="0" borderId="0" xfId="11" applyFont="1" applyAlignment="1" applyProtection="1">
      <alignment vertical="center"/>
    </xf>
    <xf numFmtId="0" fontId="14" fillId="2" borderId="2" xfId="17" applyFont="1" applyFill="1" applyBorder="1" applyAlignment="1" applyProtection="1">
      <alignment horizontal="right" vertical="center"/>
    </xf>
    <xf numFmtId="0" fontId="38" fillId="2" borderId="0" xfId="17" applyFont="1" applyFill="1" applyBorder="1" applyAlignment="1" applyProtection="1">
      <alignment horizontal="left" vertical="top" wrapText="1"/>
    </xf>
    <xf numFmtId="0" fontId="38" fillId="2" borderId="3" xfId="17" applyFont="1" applyFill="1" applyBorder="1" applyAlignment="1" applyProtection="1">
      <alignment vertical="top" wrapText="1"/>
    </xf>
    <xf numFmtId="0" fontId="35" fillId="2" borderId="0" xfId="17" applyFont="1" applyFill="1" applyAlignment="1" applyProtection="1">
      <alignment vertical="center" wrapText="1"/>
    </xf>
    <xf numFmtId="0" fontId="38" fillId="2" borderId="22" xfId="17" applyFont="1" applyFill="1" applyBorder="1" applyAlignment="1" applyProtection="1">
      <alignment horizontal="left" vertical="top" wrapText="1"/>
    </xf>
    <xf numFmtId="0" fontId="38" fillId="2" borderId="23" xfId="17" applyFont="1" applyFill="1" applyBorder="1" applyAlignment="1" applyProtection="1">
      <alignment vertical="top" wrapText="1"/>
    </xf>
    <xf numFmtId="0" fontId="35" fillId="2" borderId="6" xfId="17" applyFont="1" applyFill="1" applyBorder="1" applyAlignment="1" applyProtection="1">
      <alignment vertical="center" wrapText="1"/>
    </xf>
    <xf numFmtId="0" fontId="38" fillId="2" borderId="6" xfId="17" applyFont="1" applyFill="1" applyBorder="1" applyAlignment="1" applyProtection="1">
      <alignment vertical="center" wrapText="1"/>
    </xf>
    <xf numFmtId="0" fontId="14" fillId="2" borderId="0" xfId="17" applyFont="1" applyFill="1" applyAlignment="1" applyProtection="1">
      <alignment vertical="center"/>
    </xf>
    <xf numFmtId="0" fontId="53" fillId="2" borderId="0" xfId="17" applyFont="1" applyFill="1" applyAlignment="1" applyProtection="1">
      <alignment vertical="center"/>
    </xf>
    <xf numFmtId="0" fontId="14" fillId="2" borderId="0" xfId="17" applyFont="1" applyFill="1" applyAlignment="1" applyProtection="1">
      <alignment horizontal="right" vertical="center"/>
    </xf>
    <xf numFmtId="0" fontId="31" fillId="2" borderId="0" xfId="17" applyFont="1" applyFill="1" applyAlignment="1" applyProtection="1">
      <alignment vertical="center"/>
    </xf>
    <xf numFmtId="0" fontId="52" fillId="0" borderId="0" xfId="17" applyFont="1" applyAlignment="1" applyProtection="1">
      <alignment horizontal="right" vertical="center"/>
    </xf>
    <xf numFmtId="0" fontId="58" fillId="2" borderId="0" xfId="17" applyFont="1" applyFill="1" applyAlignment="1" applyProtection="1">
      <alignment horizontal="right" vertical="center"/>
    </xf>
    <xf numFmtId="0" fontId="45" fillId="2" borderId="0" xfId="17" applyFont="1" applyFill="1" applyAlignment="1" applyProtection="1">
      <alignment vertical="center"/>
    </xf>
    <xf numFmtId="0" fontId="35" fillId="2" borderId="0" xfId="17" applyFont="1" applyFill="1" applyAlignment="1" applyProtection="1">
      <alignment vertical="center"/>
    </xf>
    <xf numFmtId="0" fontId="40" fillId="2" borderId="0" xfId="17" applyFont="1" applyFill="1" applyAlignment="1" applyProtection="1">
      <alignment horizontal="left" vertical="center"/>
    </xf>
    <xf numFmtId="0" fontId="51" fillId="2" borderId="0" xfId="17" applyFont="1" applyFill="1" applyAlignment="1" applyProtection="1">
      <alignment horizontal="right" vertical="center"/>
    </xf>
    <xf numFmtId="0" fontId="43" fillId="2" borderId="0" xfId="20" applyFont="1" applyFill="1" applyAlignment="1" applyProtection="1">
      <alignment horizontal="right" vertical="center"/>
    </xf>
    <xf numFmtId="0" fontId="14" fillId="2" borderId="0" xfId="17" quotePrefix="1" applyFont="1" applyFill="1" applyAlignment="1" applyProtection="1">
      <alignment horizontal="left" vertical="center"/>
    </xf>
    <xf numFmtId="0" fontId="43" fillId="2" borderId="0" xfId="17" applyFont="1" applyFill="1" applyAlignment="1" applyProtection="1">
      <alignment horizontal="right" vertical="center"/>
    </xf>
    <xf numFmtId="0" fontId="59" fillId="2" borderId="0" xfId="27" applyFont="1" applyFill="1" applyAlignment="1" applyProtection="1">
      <alignment horizontal="right" vertical="center"/>
    </xf>
    <xf numFmtId="0" fontId="14" fillId="2" borderId="0" xfId="17" quotePrefix="1" applyFont="1" applyFill="1" applyAlignment="1" applyProtection="1">
      <alignment vertical="center"/>
    </xf>
    <xf numFmtId="0" fontId="51" fillId="0" borderId="0" xfId="17" applyFont="1" applyFill="1" applyAlignment="1" applyProtection="1">
      <alignment horizontal="right" vertical="center"/>
    </xf>
    <xf numFmtId="0" fontId="1" fillId="2" borderId="0" xfId="17" quotePrefix="1" applyFont="1" applyFill="1" applyAlignment="1" applyProtection="1">
      <alignment vertical="center"/>
    </xf>
    <xf numFmtId="0" fontId="51" fillId="0" borderId="0" xfId="17" applyFont="1" applyFill="1" applyAlignment="1" applyProtection="1">
      <alignment horizontal="right" vertical="center" wrapText="1"/>
    </xf>
    <xf numFmtId="0" fontId="35" fillId="2" borderId="22" xfId="17" applyFont="1" applyFill="1" applyBorder="1" applyAlignment="1" applyProtection="1">
      <alignment vertical="center"/>
    </xf>
  </cellXfs>
  <cellStyles count="28">
    <cellStyle name="Comma0" xfId="1" xr:uid="{00000000-0005-0000-0000-000000000000}"/>
    <cellStyle name="Currency0" xfId="2" xr:uid="{00000000-0005-0000-0000-000001000000}"/>
    <cellStyle name="Date" xfId="3" xr:uid="{00000000-0005-0000-0000-000002000000}"/>
    <cellStyle name="Fixed" xfId="4" xr:uid="{00000000-0005-0000-0000-000003000000}"/>
    <cellStyle name="Heading 1" xfId="5" builtinId="16" customBuiltin="1"/>
    <cellStyle name="Heading 2" xfId="6" builtinId="17" customBuiltin="1"/>
    <cellStyle name="Normal" xfId="0" builtinId="0"/>
    <cellStyle name="Normal 2" xfId="7" xr:uid="{00000000-0005-0000-0000-000007000000}"/>
    <cellStyle name="Normal 2 2" xfId="8" xr:uid="{00000000-0005-0000-0000-000008000000}"/>
    <cellStyle name="Normal 2 2 2" xfId="11" xr:uid="{00000000-0005-0000-0000-000009000000}"/>
    <cellStyle name="Normal 2 3" xfId="10" xr:uid="{00000000-0005-0000-0000-00000A000000}"/>
    <cellStyle name="Normal 2 4" xfId="13" xr:uid="{00000000-0005-0000-0000-00000B000000}"/>
    <cellStyle name="Normal 2 4 2" xfId="14" xr:uid="{00000000-0005-0000-0000-00000C000000}"/>
    <cellStyle name="Normal 2 4 3" xfId="15" xr:uid="{00000000-0005-0000-0000-00000D000000}"/>
    <cellStyle name="Normal 2 4 4" xfId="16" xr:uid="{00000000-0005-0000-0000-00000E000000}"/>
    <cellStyle name="Normal 2 4 5" xfId="22" xr:uid="{00000000-0005-0000-0000-00000F000000}"/>
    <cellStyle name="Normal 2 4 5 2" xfId="24" xr:uid="{00000000-0005-0000-0000-000010000000}"/>
    <cellStyle name="Normal 2 4 5 3" xfId="26" xr:uid="{00000000-0005-0000-0000-000011000000}"/>
    <cellStyle name="Normal 2 5" xfId="17" xr:uid="{00000000-0005-0000-0000-000012000000}"/>
    <cellStyle name="Normal 2 5 2" xfId="18" xr:uid="{00000000-0005-0000-0000-000013000000}"/>
    <cellStyle name="Normal 2 5 3" xfId="20" xr:uid="{00000000-0005-0000-0000-000014000000}"/>
    <cellStyle name="Normal 2 6" xfId="19" xr:uid="{00000000-0005-0000-0000-000015000000}"/>
    <cellStyle name="Normal 2 7" xfId="21" xr:uid="{00000000-0005-0000-0000-000016000000}"/>
    <cellStyle name="Normal 2 7 2" xfId="23" xr:uid="{00000000-0005-0000-0000-000017000000}"/>
    <cellStyle name="Normal 2 7 3" xfId="25" xr:uid="{00000000-0005-0000-0000-000018000000}"/>
    <cellStyle name="Normal 2 9" xfId="27" xr:uid="{287CC973-BD3D-4E31-9DFC-2CB9B819358E}"/>
    <cellStyle name="Normal 3" xfId="12" xr:uid="{00000000-0005-0000-0000-000019000000}"/>
    <cellStyle name="Total" xfId="9" builtinId="25" customBuiltin="1"/>
  </cellStyles>
  <dxfs count="17">
    <dxf>
      <font>
        <condense val="0"/>
        <extend val="0"/>
        <color indexed="9"/>
      </font>
      <fill>
        <patternFill patternType="solid">
          <bgColor indexed="9"/>
        </patternFill>
      </fill>
      <border>
        <left/>
        <right/>
        <top/>
        <bottom/>
      </border>
    </dxf>
    <dxf>
      <font>
        <color theme="0"/>
      </font>
    </dxf>
    <dxf>
      <numFmt numFmtId="172" formatCode=";;;"/>
    </dxf>
    <dxf>
      <font>
        <color theme="0"/>
      </font>
    </dxf>
    <dxf>
      <font>
        <color theme="0"/>
      </font>
    </dxf>
    <dxf>
      <font>
        <condense val="0"/>
        <extend val="0"/>
        <color indexed="9"/>
      </font>
      <fill>
        <patternFill patternType="solid">
          <bgColor indexed="9"/>
        </patternFill>
      </fill>
      <border>
        <left/>
        <right/>
        <top style="thin">
          <color theme="0" tint="-0.24994659260841701"/>
        </top>
        <bottom/>
      </border>
    </dxf>
    <dxf>
      <font>
        <condense val="0"/>
        <extend val="0"/>
        <color indexed="9"/>
      </font>
      <fill>
        <patternFill patternType="solid">
          <bgColor indexed="9"/>
        </patternFill>
      </fill>
      <border>
        <left/>
        <right/>
        <top/>
        <bottom/>
      </border>
    </dxf>
    <dxf>
      <font>
        <color theme="1"/>
      </font>
    </dxf>
    <dxf>
      <font>
        <color theme="1"/>
      </font>
    </dxf>
    <dxf>
      <font>
        <color theme="1"/>
      </font>
    </dxf>
    <dxf>
      <font>
        <color theme="1"/>
      </font>
    </dxf>
    <dxf>
      <font>
        <color theme="1"/>
      </font>
    </dxf>
    <dxf>
      <font>
        <color theme="0"/>
      </font>
    </dxf>
    <dxf>
      <font>
        <color theme="0"/>
      </font>
    </dxf>
    <dxf>
      <font>
        <color theme="0"/>
      </font>
      <fill>
        <patternFill>
          <bgColor theme="0"/>
        </patternFill>
      </fill>
      <border>
        <left/>
        <right/>
        <top style="thin">
          <color theme="0" tint="-0.24994659260841701"/>
        </top>
        <bottom/>
        <vertical/>
        <horizontal/>
      </border>
    </dxf>
    <dxf>
      <font>
        <color rgb="FFFF0000"/>
      </font>
    </dxf>
    <dxf>
      <font>
        <color theme="0"/>
      </font>
    </dxf>
  </dxfs>
  <tableStyles count="0" defaultTableStyle="TableStyleMedium2" defaultPivotStyle="PivotStyleLight16"/>
  <colors>
    <mruColors>
      <color rgb="FF0000FF"/>
      <color rgb="FFFCC8C9"/>
      <color rgb="FFFFFF99"/>
      <color rgb="FFFFFF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241610</xdr:colOff>
      <xdr:row>9</xdr:row>
      <xdr:rowOff>0</xdr:rowOff>
    </xdr:from>
    <xdr:to>
      <xdr:col>10</xdr:col>
      <xdr:colOff>82261</xdr:colOff>
      <xdr:row>10</xdr:row>
      <xdr:rowOff>2428</xdr:rowOff>
    </xdr:to>
    <xdr:sp macro="" textlink="">
      <xdr:nvSpPr>
        <xdr:cNvPr id="11" name="Rectangle 5">
          <a:extLst>
            <a:ext uri="{FF2B5EF4-FFF2-40B4-BE49-F238E27FC236}">
              <a16:creationId xmlns:a16="http://schemas.microsoft.com/office/drawing/2014/main" id="{DA1D5683-0368-4EE9-B46D-BD406AA81723}"/>
            </a:ext>
          </a:extLst>
        </xdr:cNvPr>
        <xdr:cNvSpPr>
          <a:spLocks noChangeArrowheads="1"/>
        </xdr:cNvSpPr>
      </xdr:nvSpPr>
      <xdr:spPr bwMode="auto">
        <a:xfrm>
          <a:off x="3327710" y="1457325"/>
          <a:ext cx="2431451" cy="164353"/>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549853</xdr:colOff>
      <xdr:row>2</xdr:row>
      <xdr:rowOff>85725</xdr:rowOff>
    </xdr:from>
    <xdr:to>
      <xdr:col>8</xdr:col>
      <xdr:colOff>593008</xdr:colOff>
      <xdr:row>2</xdr:row>
      <xdr:rowOff>85725</xdr:rowOff>
    </xdr:to>
    <xdr:sp macro="" textlink="">
      <xdr:nvSpPr>
        <xdr:cNvPr id="12" name="Line 9">
          <a:extLst>
            <a:ext uri="{FF2B5EF4-FFF2-40B4-BE49-F238E27FC236}">
              <a16:creationId xmlns:a16="http://schemas.microsoft.com/office/drawing/2014/main" id="{5FA1B91B-9AF1-4BEA-9AD4-713D35C79FA1}"/>
            </a:ext>
          </a:extLst>
        </xdr:cNvPr>
        <xdr:cNvSpPr>
          <a:spLocks noChangeShapeType="1"/>
        </xdr:cNvSpPr>
      </xdr:nvSpPr>
      <xdr:spPr bwMode="auto">
        <a:xfrm>
          <a:off x="4283653" y="409575"/>
          <a:ext cx="69085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180975</xdr:colOff>
      <xdr:row>4</xdr:row>
      <xdr:rowOff>19050</xdr:rowOff>
    </xdr:from>
    <xdr:to>
      <xdr:col>8</xdr:col>
      <xdr:colOff>180975</xdr:colOff>
      <xdr:row>8</xdr:row>
      <xdr:rowOff>142875</xdr:rowOff>
    </xdr:to>
    <xdr:sp macro="" textlink="">
      <xdr:nvSpPr>
        <xdr:cNvPr id="13" name="Line 13">
          <a:extLst>
            <a:ext uri="{FF2B5EF4-FFF2-40B4-BE49-F238E27FC236}">
              <a16:creationId xmlns:a16="http://schemas.microsoft.com/office/drawing/2014/main" id="{D8556843-B5EF-46AE-A26B-B9016D91EDE5}"/>
            </a:ext>
          </a:extLst>
        </xdr:cNvPr>
        <xdr:cNvSpPr>
          <a:spLocks noChangeShapeType="1"/>
        </xdr:cNvSpPr>
      </xdr:nvSpPr>
      <xdr:spPr bwMode="auto">
        <a:xfrm>
          <a:off x="4562475" y="666750"/>
          <a:ext cx="0" cy="7715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11</xdr:col>
      <xdr:colOff>321127</xdr:colOff>
      <xdr:row>5</xdr:row>
      <xdr:rowOff>76199</xdr:rowOff>
    </xdr:from>
    <xdr:to>
      <xdr:col>11</xdr:col>
      <xdr:colOff>321127</xdr:colOff>
      <xdr:row>6</xdr:row>
      <xdr:rowOff>97970</xdr:rowOff>
    </xdr:to>
    <xdr:sp macro="" textlink="">
      <xdr:nvSpPr>
        <xdr:cNvPr id="14" name="Line 17">
          <a:extLst>
            <a:ext uri="{FF2B5EF4-FFF2-40B4-BE49-F238E27FC236}">
              <a16:creationId xmlns:a16="http://schemas.microsoft.com/office/drawing/2014/main" id="{66607DFF-DBD4-4FA4-BD94-3A5EA6F14F72}"/>
            </a:ext>
          </a:extLst>
        </xdr:cNvPr>
        <xdr:cNvSpPr>
          <a:spLocks noChangeShapeType="1"/>
        </xdr:cNvSpPr>
      </xdr:nvSpPr>
      <xdr:spPr bwMode="auto">
        <a:xfrm flipV="1">
          <a:off x="6645727" y="885824"/>
          <a:ext cx="0" cy="183696"/>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a:ln>
        <a:extLst>
          <a:ext uri="{909E8E84-426E-40DD-AFC4-6F175D3DCCD1}">
            <a14:hiddenFill xmlns:a14="http://schemas.microsoft.com/office/drawing/2010/main">
              <a:noFill/>
            </a14:hiddenFill>
          </a:ext>
        </a:extLst>
      </xdr:spPr>
    </xdr:sp>
    <xdr:clientData/>
  </xdr:twoCellAnchor>
  <xdr:twoCellAnchor>
    <xdr:from>
      <xdr:col>9</xdr:col>
      <xdr:colOff>9525</xdr:colOff>
      <xdr:row>5</xdr:row>
      <xdr:rowOff>85725</xdr:rowOff>
    </xdr:from>
    <xdr:to>
      <xdr:col>9</xdr:col>
      <xdr:colOff>190500</xdr:colOff>
      <xdr:row>5</xdr:row>
      <xdr:rowOff>85725</xdr:rowOff>
    </xdr:to>
    <xdr:sp macro="" textlink="">
      <xdr:nvSpPr>
        <xdr:cNvPr id="15" name="Line 18">
          <a:extLst>
            <a:ext uri="{FF2B5EF4-FFF2-40B4-BE49-F238E27FC236}">
              <a16:creationId xmlns:a16="http://schemas.microsoft.com/office/drawing/2014/main" id="{BF5F9798-8EB1-4535-B4FC-EE768245DEEF}"/>
            </a:ext>
          </a:extLst>
        </xdr:cNvPr>
        <xdr:cNvSpPr>
          <a:spLocks noChangeShapeType="1"/>
        </xdr:cNvSpPr>
      </xdr:nvSpPr>
      <xdr:spPr bwMode="auto">
        <a:xfrm flipH="1">
          <a:off x="5038725" y="895350"/>
          <a:ext cx="1809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6</xdr:col>
      <xdr:colOff>617762</xdr:colOff>
      <xdr:row>8</xdr:row>
      <xdr:rowOff>123825</xdr:rowOff>
    </xdr:from>
    <xdr:to>
      <xdr:col>7</xdr:col>
      <xdr:colOff>217712</xdr:colOff>
      <xdr:row>9</xdr:row>
      <xdr:rowOff>0</xdr:rowOff>
    </xdr:to>
    <xdr:sp macro="" textlink="">
      <xdr:nvSpPr>
        <xdr:cNvPr id="16" name="Rectangle 19">
          <a:extLst>
            <a:ext uri="{FF2B5EF4-FFF2-40B4-BE49-F238E27FC236}">
              <a16:creationId xmlns:a16="http://schemas.microsoft.com/office/drawing/2014/main" id="{CC040249-B66E-4D21-AFBE-D30DE5793593}"/>
            </a:ext>
          </a:extLst>
        </xdr:cNvPr>
        <xdr:cNvSpPr>
          <a:spLocks noChangeArrowheads="1"/>
        </xdr:cNvSpPr>
      </xdr:nvSpPr>
      <xdr:spPr bwMode="auto">
        <a:xfrm>
          <a:off x="3703862" y="1419225"/>
          <a:ext cx="247650" cy="38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228603</xdr:colOff>
      <xdr:row>8</xdr:row>
      <xdr:rowOff>123825</xdr:rowOff>
    </xdr:from>
    <xdr:to>
      <xdr:col>9</xdr:col>
      <xdr:colOff>476253</xdr:colOff>
      <xdr:row>9</xdr:row>
      <xdr:rowOff>0</xdr:rowOff>
    </xdr:to>
    <xdr:sp macro="" textlink="">
      <xdr:nvSpPr>
        <xdr:cNvPr id="17" name="Rectangle 20">
          <a:extLst>
            <a:ext uri="{FF2B5EF4-FFF2-40B4-BE49-F238E27FC236}">
              <a16:creationId xmlns:a16="http://schemas.microsoft.com/office/drawing/2014/main" id="{7217CF8B-9AE4-49CB-AFED-14D5A9943218}"/>
            </a:ext>
          </a:extLst>
        </xdr:cNvPr>
        <xdr:cNvSpPr>
          <a:spLocks noChangeArrowheads="1"/>
        </xdr:cNvSpPr>
      </xdr:nvSpPr>
      <xdr:spPr bwMode="auto">
        <a:xfrm>
          <a:off x="5257803" y="1419225"/>
          <a:ext cx="247650" cy="38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8162</xdr:colOff>
      <xdr:row>8</xdr:row>
      <xdr:rowOff>28575</xdr:rowOff>
    </xdr:from>
    <xdr:to>
      <xdr:col>7</xdr:col>
      <xdr:colOff>179612</xdr:colOff>
      <xdr:row>8</xdr:row>
      <xdr:rowOff>123825</xdr:rowOff>
    </xdr:to>
    <xdr:sp macro="" textlink="">
      <xdr:nvSpPr>
        <xdr:cNvPr id="18" name="Rectangle 21">
          <a:extLst>
            <a:ext uri="{FF2B5EF4-FFF2-40B4-BE49-F238E27FC236}">
              <a16:creationId xmlns:a16="http://schemas.microsoft.com/office/drawing/2014/main" id="{429DB1DF-07D2-454A-AA89-19E6767F7A02}"/>
            </a:ext>
          </a:extLst>
        </xdr:cNvPr>
        <xdr:cNvSpPr>
          <a:spLocks noChangeArrowheads="1"/>
        </xdr:cNvSpPr>
      </xdr:nvSpPr>
      <xdr:spPr bwMode="auto">
        <a:xfrm>
          <a:off x="3741962" y="1323975"/>
          <a:ext cx="1714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266703</xdr:colOff>
      <xdr:row>8</xdr:row>
      <xdr:rowOff>28575</xdr:rowOff>
    </xdr:from>
    <xdr:to>
      <xdr:col>9</xdr:col>
      <xdr:colOff>438153</xdr:colOff>
      <xdr:row>8</xdr:row>
      <xdr:rowOff>123825</xdr:rowOff>
    </xdr:to>
    <xdr:sp macro="" textlink="">
      <xdr:nvSpPr>
        <xdr:cNvPr id="19" name="Rectangle 22">
          <a:extLst>
            <a:ext uri="{FF2B5EF4-FFF2-40B4-BE49-F238E27FC236}">
              <a16:creationId xmlns:a16="http://schemas.microsoft.com/office/drawing/2014/main" id="{A43F1522-E019-4656-88A4-E118187E70C2}"/>
            </a:ext>
          </a:extLst>
        </xdr:cNvPr>
        <xdr:cNvSpPr>
          <a:spLocks noChangeArrowheads="1"/>
        </xdr:cNvSpPr>
      </xdr:nvSpPr>
      <xdr:spPr bwMode="auto">
        <a:xfrm>
          <a:off x="5295903" y="1323975"/>
          <a:ext cx="1714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31294</xdr:colOff>
      <xdr:row>7</xdr:row>
      <xdr:rowOff>123825</xdr:rowOff>
    </xdr:from>
    <xdr:to>
      <xdr:col>7</xdr:col>
      <xdr:colOff>145594</xdr:colOff>
      <xdr:row>8</xdr:row>
      <xdr:rowOff>28575</xdr:rowOff>
    </xdr:to>
    <xdr:sp macro="" textlink="">
      <xdr:nvSpPr>
        <xdr:cNvPr id="20" name="Rectangle 23" descr="Narrow horizontal">
          <a:extLst>
            <a:ext uri="{FF2B5EF4-FFF2-40B4-BE49-F238E27FC236}">
              <a16:creationId xmlns:a16="http://schemas.microsoft.com/office/drawing/2014/main" id="{ADF2AE0D-2F62-4D3A-97DB-C4160E717554}"/>
            </a:ext>
          </a:extLst>
        </xdr:cNvPr>
        <xdr:cNvSpPr>
          <a:spLocks noChangeArrowheads="1"/>
        </xdr:cNvSpPr>
      </xdr:nvSpPr>
      <xdr:spPr bwMode="auto">
        <a:xfrm>
          <a:off x="3765094" y="1257300"/>
          <a:ext cx="114300" cy="66675"/>
        </a:xfrm>
        <a:prstGeom prst="rect">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59869</xdr:colOff>
      <xdr:row>8</xdr:row>
      <xdr:rowOff>28575</xdr:rowOff>
    </xdr:from>
    <xdr:to>
      <xdr:col>7</xdr:col>
      <xdr:colOff>117019</xdr:colOff>
      <xdr:row>8</xdr:row>
      <xdr:rowOff>123825</xdr:rowOff>
    </xdr:to>
    <xdr:sp macro="" textlink="">
      <xdr:nvSpPr>
        <xdr:cNvPr id="21" name="Rectangle 24">
          <a:extLst>
            <a:ext uri="{FF2B5EF4-FFF2-40B4-BE49-F238E27FC236}">
              <a16:creationId xmlns:a16="http://schemas.microsoft.com/office/drawing/2014/main" id="{969CCE46-2595-4965-868D-AB32BAAB19CB}"/>
            </a:ext>
          </a:extLst>
        </xdr:cNvPr>
        <xdr:cNvSpPr>
          <a:spLocks noChangeArrowheads="1"/>
        </xdr:cNvSpPr>
      </xdr:nvSpPr>
      <xdr:spPr bwMode="auto">
        <a:xfrm>
          <a:off x="3793669" y="1323975"/>
          <a:ext cx="571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295278</xdr:colOff>
      <xdr:row>7</xdr:row>
      <xdr:rowOff>123825</xdr:rowOff>
    </xdr:from>
    <xdr:to>
      <xdr:col>9</xdr:col>
      <xdr:colOff>409578</xdr:colOff>
      <xdr:row>8</xdr:row>
      <xdr:rowOff>28575</xdr:rowOff>
    </xdr:to>
    <xdr:sp macro="" textlink="">
      <xdr:nvSpPr>
        <xdr:cNvPr id="22" name="Rectangle 25" descr="Narrow horizontal">
          <a:extLst>
            <a:ext uri="{FF2B5EF4-FFF2-40B4-BE49-F238E27FC236}">
              <a16:creationId xmlns:a16="http://schemas.microsoft.com/office/drawing/2014/main" id="{91A3DA81-D5D9-4CA7-8C60-6EE73EF97449}"/>
            </a:ext>
          </a:extLst>
        </xdr:cNvPr>
        <xdr:cNvSpPr>
          <a:spLocks noChangeArrowheads="1"/>
        </xdr:cNvSpPr>
      </xdr:nvSpPr>
      <xdr:spPr bwMode="auto">
        <a:xfrm>
          <a:off x="5324478" y="1257300"/>
          <a:ext cx="114300" cy="66675"/>
        </a:xfrm>
        <a:prstGeom prst="rect">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323852</xdr:colOff>
      <xdr:row>8</xdr:row>
      <xdr:rowOff>28575</xdr:rowOff>
    </xdr:from>
    <xdr:to>
      <xdr:col>9</xdr:col>
      <xdr:colOff>381002</xdr:colOff>
      <xdr:row>8</xdr:row>
      <xdr:rowOff>123825</xdr:rowOff>
    </xdr:to>
    <xdr:sp macro="" textlink="">
      <xdr:nvSpPr>
        <xdr:cNvPr id="23" name="Rectangle 26">
          <a:extLst>
            <a:ext uri="{FF2B5EF4-FFF2-40B4-BE49-F238E27FC236}">
              <a16:creationId xmlns:a16="http://schemas.microsoft.com/office/drawing/2014/main" id="{BD62D260-38D2-4D22-BDDE-149185FB5ABA}"/>
            </a:ext>
          </a:extLst>
        </xdr:cNvPr>
        <xdr:cNvSpPr>
          <a:spLocks noChangeArrowheads="1"/>
        </xdr:cNvSpPr>
      </xdr:nvSpPr>
      <xdr:spPr bwMode="auto">
        <a:xfrm>
          <a:off x="5353052" y="1323975"/>
          <a:ext cx="571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321129</xdr:colOff>
      <xdr:row>7</xdr:row>
      <xdr:rowOff>97972</xdr:rowOff>
    </xdr:from>
    <xdr:to>
      <xdr:col>11</xdr:col>
      <xdr:colOff>321129</xdr:colOff>
      <xdr:row>8</xdr:row>
      <xdr:rowOff>125186</xdr:rowOff>
    </xdr:to>
    <xdr:sp macro="" textlink="">
      <xdr:nvSpPr>
        <xdr:cNvPr id="24" name="Line 27">
          <a:extLst>
            <a:ext uri="{FF2B5EF4-FFF2-40B4-BE49-F238E27FC236}">
              <a16:creationId xmlns:a16="http://schemas.microsoft.com/office/drawing/2014/main" id="{7328251A-474B-4F6A-8CE7-11A6CDC36196}"/>
            </a:ext>
          </a:extLst>
        </xdr:cNvPr>
        <xdr:cNvSpPr>
          <a:spLocks noChangeShapeType="1"/>
        </xdr:cNvSpPr>
      </xdr:nvSpPr>
      <xdr:spPr bwMode="auto">
        <a:xfrm>
          <a:off x="6645729" y="1231447"/>
          <a:ext cx="0" cy="189139"/>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a:ln>
        <a:extLst>
          <a:ext uri="{909E8E84-426E-40DD-AFC4-6F175D3DCCD1}">
            <a14:hiddenFill xmlns:a14="http://schemas.microsoft.com/office/drawing/2010/main">
              <a:noFill/>
            </a14:hiddenFill>
          </a:ext>
        </a:extLst>
      </xdr:spPr>
    </xdr:sp>
    <xdr:clientData/>
  </xdr:twoCellAnchor>
  <xdr:twoCellAnchor>
    <xdr:from>
      <xdr:col>6</xdr:col>
      <xdr:colOff>36366</xdr:colOff>
      <xdr:row>10</xdr:row>
      <xdr:rowOff>0</xdr:rowOff>
    </xdr:from>
    <xdr:to>
      <xdr:col>6</xdr:col>
      <xdr:colOff>238123</xdr:colOff>
      <xdr:row>11</xdr:row>
      <xdr:rowOff>0</xdr:rowOff>
    </xdr:to>
    <xdr:sp macro="" textlink="">
      <xdr:nvSpPr>
        <xdr:cNvPr id="25" name="Line 28">
          <a:extLst>
            <a:ext uri="{FF2B5EF4-FFF2-40B4-BE49-F238E27FC236}">
              <a16:creationId xmlns:a16="http://schemas.microsoft.com/office/drawing/2014/main" id="{7EB80E40-424B-4997-8F4C-2B44D2D7E2AE}"/>
            </a:ext>
          </a:extLst>
        </xdr:cNvPr>
        <xdr:cNvSpPr>
          <a:spLocks noChangeShapeType="1"/>
        </xdr:cNvSpPr>
      </xdr:nvSpPr>
      <xdr:spPr bwMode="auto">
        <a:xfrm flipH="1">
          <a:off x="3122466" y="1619250"/>
          <a:ext cx="201757" cy="161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87087</xdr:colOff>
      <xdr:row>10</xdr:row>
      <xdr:rowOff>0</xdr:rowOff>
    </xdr:from>
    <xdr:to>
      <xdr:col>10</xdr:col>
      <xdr:colOff>249012</xdr:colOff>
      <xdr:row>11</xdr:row>
      <xdr:rowOff>0</xdr:rowOff>
    </xdr:to>
    <xdr:sp macro="" textlink="">
      <xdr:nvSpPr>
        <xdr:cNvPr id="26" name="Line 29">
          <a:extLst>
            <a:ext uri="{FF2B5EF4-FFF2-40B4-BE49-F238E27FC236}">
              <a16:creationId xmlns:a16="http://schemas.microsoft.com/office/drawing/2014/main" id="{83551C92-E8A5-4E8D-982C-AB5E343F899E}"/>
            </a:ext>
          </a:extLst>
        </xdr:cNvPr>
        <xdr:cNvSpPr>
          <a:spLocks noChangeShapeType="1"/>
        </xdr:cNvSpPr>
      </xdr:nvSpPr>
      <xdr:spPr bwMode="auto">
        <a:xfrm>
          <a:off x="5763987" y="1619250"/>
          <a:ext cx="161925" cy="161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104775</xdr:colOff>
      <xdr:row>10</xdr:row>
      <xdr:rowOff>0</xdr:rowOff>
    </xdr:from>
    <xdr:to>
      <xdr:col>8</xdr:col>
      <xdr:colOff>257175</xdr:colOff>
      <xdr:row>12</xdr:row>
      <xdr:rowOff>76200</xdr:rowOff>
    </xdr:to>
    <xdr:sp macro="" textlink="">
      <xdr:nvSpPr>
        <xdr:cNvPr id="27" name="Rectangle 30">
          <a:extLst>
            <a:ext uri="{FF2B5EF4-FFF2-40B4-BE49-F238E27FC236}">
              <a16:creationId xmlns:a16="http://schemas.microsoft.com/office/drawing/2014/main" id="{5F3FA509-6553-497F-B6C3-42AA970C246A}"/>
            </a:ext>
          </a:extLst>
        </xdr:cNvPr>
        <xdr:cNvSpPr>
          <a:spLocks noChangeArrowheads="1"/>
        </xdr:cNvSpPr>
      </xdr:nvSpPr>
      <xdr:spPr bwMode="auto">
        <a:xfrm>
          <a:off x="4486275" y="1619250"/>
          <a:ext cx="152400"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34637</xdr:colOff>
      <xdr:row>11</xdr:row>
      <xdr:rowOff>0</xdr:rowOff>
    </xdr:from>
    <xdr:to>
      <xdr:col>7</xdr:col>
      <xdr:colOff>571500</xdr:colOff>
      <xdr:row>11</xdr:row>
      <xdr:rowOff>0</xdr:rowOff>
    </xdr:to>
    <xdr:sp macro="" textlink="">
      <xdr:nvSpPr>
        <xdr:cNvPr id="28" name="Line 31">
          <a:extLst>
            <a:ext uri="{FF2B5EF4-FFF2-40B4-BE49-F238E27FC236}">
              <a16:creationId xmlns:a16="http://schemas.microsoft.com/office/drawing/2014/main" id="{69D9DD9A-19A2-424F-8E29-68E07A9A3EC0}"/>
            </a:ext>
          </a:extLst>
        </xdr:cNvPr>
        <xdr:cNvSpPr>
          <a:spLocks noChangeShapeType="1"/>
        </xdr:cNvSpPr>
      </xdr:nvSpPr>
      <xdr:spPr bwMode="auto">
        <a:xfrm>
          <a:off x="3120737" y="1781175"/>
          <a:ext cx="118456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419100</xdr:colOff>
      <xdr:row>11</xdr:row>
      <xdr:rowOff>0</xdr:rowOff>
    </xdr:from>
    <xdr:to>
      <xdr:col>10</xdr:col>
      <xdr:colOff>244928</xdr:colOff>
      <xdr:row>11</xdr:row>
      <xdr:rowOff>0</xdr:rowOff>
    </xdr:to>
    <xdr:sp macro="" textlink="">
      <xdr:nvSpPr>
        <xdr:cNvPr id="29" name="Line 32">
          <a:extLst>
            <a:ext uri="{FF2B5EF4-FFF2-40B4-BE49-F238E27FC236}">
              <a16:creationId xmlns:a16="http://schemas.microsoft.com/office/drawing/2014/main" id="{A6595543-0EAA-4F36-832F-183AE639775F}"/>
            </a:ext>
          </a:extLst>
        </xdr:cNvPr>
        <xdr:cNvSpPr>
          <a:spLocks noChangeShapeType="1"/>
        </xdr:cNvSpPr>
      </xdr:nvSpPr>
      <xdr:spPr bwMode="auto">
        <a:xfrm>
          <a:off x="4800600" y="1781175"/>
          <a:ext cx="1121228"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11</xdr:row>
      <xdr:rowOff>0</xdr:rowOff>
    </xdr:from>
    <xdr:to>
      <xdr:col>7</xdr:col>
      <xdr:colOff>571500</xdr:colOff>
      <xdr:row>13</xdr:row>
      <xdr:rowOff>57150</xdr:rowOff>
    </xdr:to>
    <xdr:sp macro="" textlink="">
      <xdr:nvSpPr>
        <xdr:cNvPr id="30" name="Line 33">
          <a:extLst>
            <a:ext uri="{FF2B5EF4-FFF2-40B4-BE49-F238E27FC236}">
              <a16:creationId xmlns:a16="http://schemas.microsoft.com/office/drawing/2014/main" id="{4C4D4B64-3494-41DA-B4B1-1955C20F56D5}"/>
            </a:ext>
          </a:extLst>
        </xdr:cNvPr>
        <xdr:cNvSpPr>
          <a:spLocks noChangeShapeType="1"/>
        </xdr:cNvSpPr>
      </xdr:nvSpPr>
      <xdr:spPr bwMode="auto">
        <a:xfrm>
          <a:off x="4305300" y="1781175"/>
          <a:ext cx="0" cy="381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419100</xdr:colOff>
      <xdr:row>11</xdr:row>
      <xdr:rowOff>0</xdr:rowOff>
    </xdr:from>
    <xdr:to>
      <xdr:col>8</xdr:col>
      <xdr:colOff>419100</xdr:colOff>
      <xdr:row>13</xdr:row>
      <xdr:rowOff>57150</xdr:rowOff>
    </xdr:to>
    <xdr:sp macro="" textlink="">
      <xdr:nvSpPr>
        <xdr:cNvPr id="31" name="Line 34">
          <a:extLst>
            <a:ext uri="{FF2B5EF4-FFF2-40B4-BE49-F238E27FC236}">
              <a16:creationId xmlns:a16="http://schemas.microsoft.com/office/drawing/2014/main" id="{03339694-D454-44DC-B02E-C337E0F732AA}"/>
            </a:ext>
          </a:extLst>
        </xdr:cNvPr>
        <xdr:cNvSpPr>
          <a:spLocks noChangeShapeType="1"/>
        </xdr:cNvSpPr>
      </xdr:nvSpPr>
      <xdr:spPr bwMode="auto">
        <a:xfrm>
          <a:off x="4800600" y="1781175"/>
          <a:ext cx="0" cy="381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571500</xdr:colOff>
      <xdr:row>13</xdr:row>
      <xdr:rowOff>57150</xdr:rowOff>
    </xdr:from>
    <xdr:to>
      <xdr:col>8</xdr:col>
      <xdr:colOff>419100</xdr:colOff>
      <xdr:row>13</xdr:row>
      <xdr:rowOff>57150</xdr:rowOff>
    </xdr:to>
    <xdr:sp macro="" textlink="">
      <xdr:nvSpPr>
        <xdr:cNvPr id="32" name="Line 35">
          <a:extLst>
            <a:ext uri="{FF2B5EF4-FFF2-40B4-BE49-F238E27FC236}">
              <a16:creationId xmlns:a16="http://schemas.microsoft.com/office/drawing/2014/main" id="{209C7178-AE84-43AD-A27A-CFC519395262}"/>
            </a:ext>
          </a:extLst>
        </xdr:cNvPr>
        <xdr:cNvSpPr>
          <a:spLocks noChangeShapeType="1"/>
        </xdr:cNvSpPr>
      </xdr:nvSpPr>
      <xdr:spPr bwMode="auto">
        <a:xfrm>
          <a:off x="4305300" y="2162175"/>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464866</xdr:colOff>
      <xdr:row>9</xdr:row>
      <xdr:rowOff>6223</xdr:rowOff>
    </xdr:from>
    <xdr:to>
      <xdr:col>6</xdr:col>
      <xdr:colOff>251832</xdr:colOff>
      <xdr:row>9</xdr:row>
      <xdr:rowOff>6223</xdr:rowOff>
    </xdr:to>
    <xdr:sp macro="" textlink="">
      <xdr:nvSpPr>
        <xdr:cNvPr id="33" name="Line 36">
          <a:extLst>
            <a:ext uri="{FF2B5EF4-FFF2-40B4-BE49-F238E27FC236}">
              <a16:creationId xmlns:a16="http://schemas.microsoft.com/office/drawing/2014/main" id="{E4E2DFF3-2161-4A3D-8220-5BAFDB24FAB2}"/>
            </a:ext>
          </a:extLst>
        </xdr:cNvPr>
        <xdr:cNvSpPr>
          <a:spLocks noChangeShapeType="1"/>
        </xdr:cNvSpPr>
      </xdr:nvSpPr>
      <xdr:spPr bwMode="auto">
        <a:xfrm>
          <a:off x="2903266" y="1463548"/>
          <a:ext cx="434666"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9</xdr:col>
      <xdr:colOff>613680</xdr:colOff>
      <xdr:row>8</xdr:row>
      <xdr:rowOff>123825</xdr:rowOff>
    </xdr:from>
    <xdr:to>
      <xdr:col>9</xdr:col>
      <xdr:colOff>613680</xdr:colOff>
      <xdr:row>10</xdr:row>
      <xdr:rowOff>0</xdr:rowOff>
    </xdr:to>
    <xdr:sp macro="" textlink="">
      <xdr:nvSpPr>
        <xdr:cNvPr id="34" name="Line 37">
          <a:extLst>
            <a:ext uri="{FF2B5EF4-FFF2-40B4-BE49-F238E27FC236}">
              <a16:creationId xmlns:a16="http://schemas.microsoft.com/office/drawing/2014/main" id="{96EB7F87-5705-4CA8-9FDD-615F4A08819D}"/>
            </a:ext>
          </a:extLst>
        </xdr:cNvPr>
        <xdr:cNvSpPr>
          <a:spLocks noChangeShapeType="1"/>
        </xdr:cNvSpPr>
      </xdr:nvSpPr>
      <xdr:spPr bwMode="auto">
        <a:xfrm flipV="1">
          <a:off x="5642880" y="1419225"/>
          <a:ext cx="0" cy="2000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a:ln>
        <a:extLst>
          <a:ext uri="{909E8E84-426E-40DD-AFC4-6F175D3DCCD1}">
            <a14:hiddenFill xmlns:a14="http://schemas.microsoft.com/office/drawing/2010/main">
              <a:noFill/>
            </a14:hiddenFill>
          </a:ext>
        </a:extLst>
      </xdr:spPr>
    </xdr:sp>
    <xdr:clientData/>
  </xdr:twoCellAnchor>
  <xdr:twoCellAnchor>
    <xdr:from>
      <xdr:col>9</xdr:col>
      <xdr:colOff>613679</xdr:colOff>
      <xdr:row>11</xdr:row>
      <xdr:rowOff>4330</xdr:rowOff>
    </xdr:from>
    <xdr:to>
      <xdr:col>9</xdr:col>
      <xdr:colOff>613679</xdr:colOff>
      <xdr:row>12</xdr:row>
      <xdr:rowOff>90055</xdr:rowOff>
    </xdr:to>
    <xdr:sp macro="" textlink="">
      <xdr:nvSpPr>
        <xdr:cNvPr id="35" name="Line 38">
          <a:extLst>
            <a:ext uri="{FF2B5EF4-FFF2-40B4-BE49-F238E27FC236}">
              <a16:creationId xmlns:a16="http://schemas.microsoft.com/office/drawing/2014/main" id="{ABBE3662-F892-45B2-A730-CB98E3B60629}"/>
            </a:ext>
          </a:extLst>
        </xdr:cNvPr>
        <xdr:cNvSpPr>
          <a:spLocks noChangeShapeType="1"/>
        </xdr:cNvSpPr>
      </xdr:nvSpPr>
      <xdr:spPr bwMode="auto">
        <a:xfrm>
          <a:off x="5642879" y="1785505"/>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a:ln>
        <a:extLst>
          <a:ext uri="{909E8E84-426E-40DD-AFC4-6F175D3DCCD1}">
            <a14:hiddenFill xmlns:a14="http://schemas.microsoft.com/office/drawing/2010/main">
              <a:noFill/>
            </a14:hiddenFill>
          </a:ext>
        </a:extLst>
      </xdr:spPr>
    </xdr:sp>
    <xdr:clientData/>
  </xdr:twoCellAnchor>
  <xdr:twoCellAnchor>
    <xdr:from>
      <xdr:col>9</xdr:col>
      <xdr:colOff>613680</xdr:colOff>
      <xdr:row>10</xdr:row>
      <xdr:rowOff>0</xdr:rowOff>
    </xdr:from>
    <xdr:to>
      <xdr:col>9</xdr:col>
      <xdr:colOff>613680</xdr:colOff>
      <xdr:row>11</xdr:row>
      <xdr:rowOff>0</xdr:rowOff>
    </xdr:to>
    <xdr:sp macro="" textlink="">
      <xdr:nvSpPr>
        <xdr:cNvPr id="36" name="Line 39">
          <a:extLst>
            <a:ext uri="{FF2B5EF4-FFF2-40B4-BE49-F238E27FC236}">
              <a16:creationId xmlns:a16="http://schemas.microsoft.com/office/drawing/2014/main" id="{229745D9-60A5-4E15-B343-B023CF551020}"/>
            </a:ext>
          </a:extLst>
        </xdr:cNvPr>
        <xdr:cNvSpPr>
          <a:spLocks noChangeShapeType="1"/>
        </xdr:cNvSpPr>
      </xdr:nvSpPr>
      <xdr:spPr bwMode="auto">
        <a:xfrm flipV="1">
          <a:off x="5642880" y="1619250"/>
          <a:ext cx="0" cy="161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476250</xdr:colOff>
      <xdr:row>15</xdr:row>
      <xdr:rowOff>19050</xdr:rowOff>
    </xdr:from>
    <xdr:to>
      <xdr:col>8</xdr:col>
      <xdr:colOff>104775</xdr:colOff>
      <xdr:row>15</xdr:row>
      <xdr:rowOff>19050</xdr:rowOff>
    </xdr:to>
    <xdr:sp macro="" textlink="">
      <xdr:nvSpPr>
        <xdr:cNvPr id="37" name="Line 40">
          <a:extLst>
            <a:ext uri="{FF2B5EF4-FFF2-40B4-BE49-F238E27FC236}">
              <a16:creationId xmlns:a16="http://schemas.microsoft.com/office/drawing/2014/main" id="{60C8AD49-E7DB-4FA6-9854-E8F2BF05F960}"/>
            </a:ext>
          </a:extLst>
        </xdr:cNvPr>
        <xdr:cNvSpPr>
          <a:spLocks noChangeShapeType="1"/>
        </xdr:cNvSpPr>
      </xdr:nvSpPr>
      <xdr:spPr bwMode="auto">
        <a:xfrm>
          <a:off x="4210050" y="2447925"/>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8</xdr:col>
      <xdr:colOff>104775</xdr:colOff>
      <xdr:row>15</xdr:row>
      <xdr:rowOff>19050</xdr:rowOff>
    </xdr:from>
    <xdr:to>
      <xdr:col>8</xdr:col>
      <xdr:colOff>257175</xdr:colOff>
      <xdr:row>15</xdr:row>
      <xdr:rowOff>19050</xdr:rowOff>
    </xdr:to>
    <xdr:sp macro="" textlink="">
      <xdr:nvSpPr>
        <xdr:cNvPr id="38" name="Line 41">
          <a:extLst>
            <a:ext uri="{FF2B5EF4-FFF2-40B4-BE49-F238E27FC236}">
              <a16:creationId xmlns:a16="http://schemas.microsoft.com/office/drawing/2014/main" id="{9B96BEC1-285E-4BCE-AC23-679C668BE712}"/>
            </a:ext>
          </a:extLst>
        </xdr:cNvPr>
        <xdr:cNvSpPr>
          <a:spLocks noChangeShapeType="1"/>
        </xdr:cNvSpPr>
      </xdr:nvSpPr>
      <xdr:spPr bwMode="auto">
        <a:xfrm>
          <a:off x="4486275" y="2447925"/>
          <a:ext cx="152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257175</xdr:colOff>
      <xdr:row>15</xdr:row>
      <xdr:rowOff>19050</xdr:rowOff>
    </xdr:from>
    <xdr:to>
      <xdr:col>9</xdr:col>
      <xdr:colOff>133350</xdr:colOff>
      <xdr:row>15</xdr:row>
      <xdr:rowOff>19050</xdr:rowOff>
    </xdr:to>
    <xdr:sp macro="" textlink="">
      <xdr:nvSpPr>
        <xdr:cNvPr id="39" name="Line 42">
          <a:extLst>
            <a:ext uri="{FF2B5EF4-FFF2-40B4-BE49-F238E27FC236}">
              <a16:creationId xmlns:a16="http://schemas.microsoft.com/office/drawing/2014/main" id="{BD79AACF-5471-4D3C-8242-43F90815D61D}"/>
            </a:ext>
          </a:extLst>
        </xdr:cNvPr>
        <xdr:cNvSpPr>
          <a:spLocks noChangeShapeType="1"/>
        </xdr:cNvSpPr>
      </xdr:nvSpPr>
      <xdr:spPr bwMode="auto">
        <a:xfrm>
          <a:off x="4638675" y="2447925"/>
          <a:ext cx="523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a:ln>
        <a:extLst>
          <a:ext uri="{909E8E84-426E-40DD-AFC4-6F175D3DCCD1}">
            <a14:hiddenFill xmlns:a14="http://schemas.microsoft.com/office/drawing/2010/main">
              <a:noFill/>
            </a14:hiddenFill>
          </a:ext>
        </a:extLst>
      </xdr:spPr>
    </xdr:sp>
    <xdr:clientData/>
  </xdr:twoCellAnchor>
  <xdr:twoCellAnchor>
    <xdr:from>
      <xdr:col>9</xdr:col>
      <xdr:colOff>85725</xdr:colOff>
      <xdr:row>13</xdr:row>
      <xdr:rowOff>142875</xdr:rowOff>
    </xdr:from>
    <xdr:to>
      <xdr:col>9</xdr:col>
      <xdr:colOff>361950</xdr:colOff>
      <xdr:row>13</xdr:row>
      <xdr:rowOff>142875</xdr:rowOff>
    </xdr:to>
    <xdr:sp macro="" textlink="">
      <xdr:nvSpPr>
        <xdr:cNvPr id="40" name="Line 43">
          <a:extLst>
            <a:ext uri="{FF2B5EF4-FFF2-40B4-BE49-F238E27FC236}">
              <a16:creationId xmlns:a16="http://schemas.microsoft.com/office/drawing/2014/main" id="{892A3786-3171-4023-9C68-75F747FC80F3}"/>
            </a:ext>
          </a:extLst>
        </xdr:cNvPr>
        <xdr:cNvSpPr>
          <a:spLocks noChangeShapeType="1"/>
        </xdr:cNvSpPr>
      </xdr:nvSpPr>
      <xdr:spPr bwMode="auto">
        <a:xfrm flipH="1">
          <a:off x="5114925" y="2247900"/>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333375</xdr:colOff>
      <xdr:row>11</xdr:row>
      <xdr:rowOff>85725</xdr:rowOff>
    </xdr:from>
    <xdr:to>
      <xdr:col>7</xdr:col>
      <xdr:colOff>180975</xdr:colOff>
      <xdr:row>11</xdr:row>
      <xdr:rowOff>85725</xdr:rowOff>
    </xdr:to>
    <xdr:sp macro="" textlink="">
      <xdr:nvSpPr>
        <xdr:cNvPr id="41" name="Line 44">
          <a:extLst>
            <a:ext uri="{FF2B5EF4-FFF2-40B4-BE49-F238E27FC236}">
              <a16:creationId xmlns:a16="http://schemas.microsoft.com/office/drawing/2014/main" id="{5E30C0EE-428A-4D5F-9295-5F0A42E636A3}"/>
            </a:ext>
          </a:extLst>
        </xdr:cNvPr>
        <xdr:cNvSpPr>
          <a:spLocks noChangeShapeType="1"/>
        </xdr:cNvSpPr>
      </xdr:nvSpPr>
      <xdr:spPr bwMode="auto">
        <a:xfrm>
          <a:off x="3419475" y="186690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466725</xdr:colOff>
      <xdr:row>12</xdr:row>
      <xdr:rowOff>38100</xdr:rowOff>
    </xdr:from>
    <xdr:to>
      <xdr:col>7</xdr:col>
      <xdr:colOff>200025</xdr:colOff>
      <xdr:row>12</xdr:row>
      <xdr:rowOff>38100</xdr:rowOff>
    </xdr:to>
    <xdr:sp macro="" textlink="">
      <xdr:nvSpPr>
        <xdr:cNvPr id="42" name="Line 47">
          <a:extLst>
            <a:ext uri="{FF2B5EF4-FFF2-40B4-BE49-F238E27FC236}">
              <a16:creationId xmlns:a16="http://schemas.microsoft.com/office/drawing/2014/main" id="{E99C1985-D4BD-4C1B-AF8D-AF491831CA50}"/>
            </a:ext>
          </a:extLst>
        </xdr:cNvPr>
        <xdr:cNvSpPr>
          <a:spLocks noChangeShapeType="1"/>
        </xdr:cNvSpPr>
      </xdr:nvSpPr>
      <xdr:spPr bwMode="auto">
        <a:xfrm flipH="1">
          <a:off x="3552825" y="1981200"/>
          <a:ext cx="381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66675</xdr:colOff>
      <xdr:row>12</xdr:row>
      <xdr:rowOff>38100</xdr:rowOff>
    </xdr:from>
    <xdr:to>
      <xdr:col>7</xdr:col>
      <xdr:colOff>142875</xdr:colOff>
      <xdr:row>12</xdr:row>
      <xdr:rowOff>114300</xdr:rowOff>
    </xdr:to>
    <xdr:sp macro="" textlink="">
      <xdr:nvSpPr>
        <xdr:cNvPr id="43" name="AutoShape 48">
          <a:extLst>
            <a:ext uri="{FF2B5EF4-FFF2-40B4-BE49-F238E27FC236}">
              <a16:creationId xmlns:a16="http://schemas.microsoft.com/office/drawing/2014/main" id="{78FDE0F6-0EA3-4B13-A474-2437D98E57CF}"/>
            </a:ext>
          </a:extLst>
        </xdr:cNvPr>
        <xdr:cNvSpPr>
          <a:spLocks noChangeArrowheads="1"/>
        </xdr:cNvSpPr>
      </xdr:nvSpPr>
      <xdr:spPr bwMode="auto">
        <a:xfrm rot="5400000">
          <a:off x="3800475" y="1981200"/>
          <a:ext cx="76200" cy="76200"/>
        </a:xfrm>
        <a:prstGeom prst="rtTriangl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66675</xdr:colOff>
      <xdr:row>11</xdr:row>
      <xdr:rowOff>123825</xdr:rowOff>
    </xdr:from>
    <xdr:to>
      <xdr:col>7</xdr:col>
      <xdr:colOff>142875</xdr:colOff>
      <xdr:row>12</xdr:row>
      <xdr:rowOff>38100</xdr:rowOff>
    </xdr:to>
    <xdr:sp macro="" textlink="">
      <xdr:nvSpPr>
        <xdr:cNvPr id="44" name="AutoShape 49">
          <a:extLst>
            <a:ext uri="{FF2B5EF4-FFF2-40B4-BE49-F238E27FC236}">
              <a16:creationId xmlns:a16="http://schemas.microsoft.com/office/drawing/2014/main" id="{A206E360-FAA2-4668-8B6B-6EA93FC353AB}"/>
            </a:ext>
          </a:extLst>
        </xdr:cNvPr>
        <xdr:cNvSpPr>
          <a:spLocks noChangeArrowheads="1"/>
        </xdr:cNvSpPr>
      </xdr:nvSpPr>
      <xdr:spPr bwMode="auto">
        <a:xfrm>
          <a:off x="3800475" y="1905000"/>
          <a:ext cx="76200" cy="76200"/>
        </a:xfrm>
        <a:prstGeom prst="rtTriangl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266700</xdr:colOff>
      <xdr:row>10</xdr:row>
      <xdr:rowOff>9525</xdr:rowOff>
    </xdr:from>
    <xdr:to>
      <xdr:col>8</xdr:col>
      <xdr:colOff>409575</xdr:colOff>
      <xdr:row>13</xdr:row>
      <xdr:rowOff>47625</xdr:rowOff>
    </xdr:to>
    <xdr:sp macro="" textlink="">
      <xdr:nvSpPr>
        <xdr:cNvPr id="45" name="Rectangle 51" descr="Small confetti">
          <a:extLst>
            <a:ext uri="{FF2B5EF4-FFF2-40B4-BE49-F238E27FC236}">
              <a16:creationId xmlns:a16="http://schemas.microsoft.com/office/drawing/2014/main" id="{FB028F52-D4E3-412E-B5B4-F80B6D3ECFC1}"/>
            </a:ext>
          </a:extLst>
        </xdr:cNvPr>
        <xdr:cNvSpPr>
          <a:spLocks noChangeArrowheads="1"/>
        </xdr:cNvSpPr>
      </xdr:nvSpPr>
      <xdr:spPr bwMode="auto">
        <a:xfrm>
          <a:off x="4648200" y="1628775"/>
          <a:ext cx="142875" cy="523875"/>
        </a:xfrm>
        <a:prstGeom prst="rect">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581025</xdr:colOff>
      <xdr:row>10</xdr:row>
      <xdr:rowOff>9525</xdr:rowOff>
    </xdr:from>
    <xdr:to>
      <xdr:col>8</xdr:col>
      <xdr:colOff>95250</xdr:colOff>
      <xdr:row>13</xdr:row>
      <xdr:rowOff>47625</xdr:rowOff>
    </xdr:to>
    <xdr:sp macro="" textlink="">
      <xdr:nvSpPr>
        <xdr:cNvPr id="46" name="Rectangle 52" descr="Small confetti">
          <a:extLst>
            <a:ext uri="{FF2B5EF4-FFF2-40B4-BE49-F238E27FC236}">
              <a16:creationId xmlns:a16="http://schemas.microsoft.com/office/drawing/2014/main" id="{4F62BAAD-D313-4EF9-86D3-A3BA9A948EA8}"/>
            </a:ext>
          </a:extLst>
        </xdr:cNvPr>
        <xdr:cNvSpPr>
          <a:spLocks noChangeArrowheads="1"/>
        </xdr:cNvSpPr>
      </xdr:nvSpPr>
      <xdr:spPr bwMode="auto">
        <a:xfrm>
          <a:off x="4314825" y="1628775"/>
          <a:ext cx="161925" cy="523875"/>
        </a:xfrm>
        <a:prstGeom prst="rect">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400050</xdr:colOff>
      <xdr:row>10</xdr:row>
      <xdr:rowOff>9525</xdr:rowOff>
    </xdr:from>
    <xdr:to>
      <xdr:col>10</xdr:col>
      <xdr:colOff>76200</xdr:colOff>
      <xdr:row>10</xdr:row>
      <xdr:rowOff>152400</xdr:rowOff>
    </xdr:to>
    <xdr:sp macro="" textlink="">
      <xdr:nvSpPr>
        <xdr:cNvPr id="47" name="Rectangle 53" descr="Small confetti">
          <a:extLst>
            <a:ext uri="{FF2B5EF4-FFF2-40B4-BE49-F238E27FC236}">
              <a16:creationId xmlns:a16="http://schemas.microsoft.com/office/drawing/2014/main" id="{89803B24-E872-461A-A8ED-E87C89F6C391}"/>
            </a:ext>
          </a:extLst>
        </xdr:cNvPr>
        <xdr:cNvSpPr>
          <a:spLocks noChangeArrowheads="1"/>
        </xdr:cNvSpPr>
      </xdr:nvSpPr>
      <xdr:spPr bwMode="auto">
        <a:xfrm>
          <a:off x="4781550" y="1628775"/>
          <a:ext cx="971550" cy="142875"/>
        </a:xfrm>
        <a:prstGeom prst="rect">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242456</xdr:colOff>
      <xdr:row>10</xdr:row>
      <xdr:rowOff>9525</xdr:rowOff>
    </xdr:from>
    <xdr:to>
      <xdr:col>7</xdr:col>
      <xdr:colOff>581026</xdr:colOff>
      <xdr:row>10</xdr:row>
      <xdr:rowOff>152400</xdr:rowOff>
    </xdr:to>
    <xdr:sp macro="" textlink="">
      <xdr:nvSpPr>
        <xdr:cNvPr id="48" name="Rectangle 54" descr="Small confetti">
          <a:extLst>
            <a:ext uri="{FF2B5EF4-FFF2-40B4-BE49-F238E27FC236}">
              <a16:creationId xmlns:a16="http://schemas.microsoft.com/office/drawing/2014/main" id="{D598D148-BD16-4A62-811F-5578299A7492}"/>
            </a:ext>
          </a:extLst>
        </xdr:cNvPr>
        <xdr:cNvSpPr>
          <a:spLocks noChangeArrowheads="1"/>
        </xdr:cNvSpPr>
      </xdr:nvSpPr>
      <xdr:spPr bwMode="auto">
        <a:xfrm>
          <a:off x="3328556" y="1628775"/>
          <a:ext cx="986270" cy="142875"/>
        </a:xfrm>
        <a:prstGeom prst="rect">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85725</xdr:colOff>
      <xdr:row>12</xdr:row>
      <xdr:rowOff>85725</xdr:rowOff>
    </xdr:from>
    <xdr:to>
      <xdr:col>8</xdr:col>
      <xdr:colOff>285750</xdr:colOff>
      <xdr:row>13</xdr:row>
      <xdr:rowOff>47625</xdr:rowOff>
    </xdr:to>
    <xdr:sp macro="" textlink="">
      <xdr:nvSpPr>
        <xdr:cNvPr id="49" name="Rectangle 55" descr="Small confetti">
          <a:extLst>
            <a:ext uri="{FF2B5EF4-FFF2-40B4-BE49-F238E27FC236}">
              <a16:creationId xmlns:a16="http://schemas.microsoft.com/office/drawing/2014/main" id="{F964835B-FBAF-49E8-AEA7-7F7A4A19415B}"/>
            </a:ext>
          </a:extLst>
        </xdr:cNvPr>
        <xdr:cNvSpPr>
          <a:spLocks noChangeArrowheads="1"/>
        </xdr:cNvSpPr>
      </xdr:nvSpPr>
      <xdr:spPr bwMode="auto">
        <a:xfrm>
          <a:off x="4467225" y="2028825"/>
          <a:ext cx="200025" cy="123825"/>
        </a:xfrm>
        <a:prstGeom prst="rect">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77562</xdr:colOff>
      <xdr:row>10</xdr:row>
      <xdr:rowOff>9525</xdr:rowOff>
    </xdr:from>
    <xdr:to>
      <xdr:col>10</xdr:col>
      <xdr:colOff>229962</xdr:colOff>
      <xdr:row>10</xdr:row>
      <xdr:rowOff>152400</xdr:rowOff>
    </xdr:to>
    <xdr:sp macro="" textlink="">
      <xdr:nvSpPr>
        <xdr:cNvPr id="50" name="AutoShape 56" descr="Small confetti">
          <a:extLst>
            <a:ext uri="{FF2B5EF4-FFF2-40B4-BE49-F238E27FC236}">
              <a16:creationId xmlns:a16="http://schemas.microsoft.com/office/drawing/2014/main" id="{069E38C2-D00D-46ED-98EE-55E25CE5FD4E}"/>
            </a:ext>
          </a:extLst>
        </xdr:cNvPr>
        <xdr:cNvSpPr>
          <a:spLocks noChangeArrowheads="1"/>
        </xdr:cNvSpPr>
      </xdr:nvSpPr>
      <xdr:spPr bwMode="auto">
        <a:xfrm>
          <a:off x="5754462" y="1628775"/>
          <a:ext cx="152400" cy="142875"/>
        </a:xfrm>
        <a:prstGeom prst="rtTriangle">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45891</xdr:colOff>
      <xdr:row>10</xdr:row>
      <xdr:rowOff>9525</xdr:rowOff>
    </xdr:from>
    <xdr:to>
      <xdr:col>6</xdr:col>
      <xdr:colOff>238123</xdr:colOff>
      <xdr:row>10</xdr:row>
      <xdr:rowOff>152400</xdr:rowOff>
    </xdr:to>
    <xdr:sp macro="" textlink="">
      <xdr:nvSpPr>
        <xdr:cNvPr id="51" name="AutoShape 57" descr="Small confetti">
          <a:extLst>
            <a:ext uri="{FF2B5EF4-FFF2-40B4-BE49-F238E27FC236}">
              <a16:creationId xmlns:a16="http://schemas.microsoft.com/office/drawing/2014/main" id="{4129C8D3-36AB-46D9-ACEB-7ED976404DA8}"/>
            </a:ext>
          </a:extLst>
        </xdr:cNvPr>
        <xdr:cNvSpPr>
          <a:spLocks noChangeArrowheads="1"/>
        </xdr:cNvSpPr>
      </xdr:nvSpPr>
      <xdr:spPr bwMode="auto">
        <a:xfrm rot="-5400000">
          <a:off x="3156669" y="1604097"/>
          <a:ext cx="142875" cy="192232"/>
        </a:xfrm>
        <a:prstGeom prst="rtTriangle">
          <a:avLst/>
        </a:pr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93887</xdr:colOff>
      <xdr:row>9</xdr:row>
      <xdr:rowOff>0</xdr:rowOff>
    </xdr:from>
    <xdr:to>
      <xdr:col>7</xdr:col>
      <xdr:colOff>93887</xdr:colOff>
      <xdr:row>11</xdr:row>
      <xdr:rowOff>38100</xdr:rowOff>
    </xdr:to>
    <xdr:sp macro="" textlink="">
      <xdr:nvSpPr>
        <xdr:cNvPr id="52" name="Line 58">
          <a:extLst>
            <a:ext uri="{FF2B5EF4-FFF2-40B4-BE49-F238E27FC236}">
              <a16:creationId xmlns:a16="http://schemas.microsoft.com/office/drawing/2014/main" id="{D9F2C50F-2E4C-4EB5-AC36-061074632363}"/>
            </a:ext>
          </a:extLst>
        </xdr:cNvPr>
        <xdr:cNvSpPr>
          <a:spLocks noChangeShapeType="1"/>
        </xdr:cNvSpPr>
      </xdr:nvSpPr>
      <xdr:spPr bwMode="auto">
        <a:xfrm>
          <a:off x="3827687" y="1457325"/>
          <a:ext cx="0" cy="361950"/>
        </a:xfrm>
        <a:prstGeom prst="line">
          <a:avLst/>
        </a:prstGeom>
        <a:noFill/>
        <a:ln w="9525">
          <a:solidFill>
            <a:srgbClr xmlns:mc="http://schemas.openxmlformats.org/markup-compatibility/2006" xmlns:a14="http://schemas.microsoft.com/office/drawing/2010/main" val="000000" mc:Ignorable="a14" a14:legacySpreadsheetColorIndex="64"/>
          </a:solidFill>
          <a:prstDash val="lgDashDot"/>
          <a:round/>
          <a:headEnd/>
          <a:tailEnd/>
        </a:ln>
        <a:extLst>
          <a:ext uri="{909E8E84-426E-40DD-AFC4-6F175D3DCCD1}">
            <a14:hiddenFill xmlns:a14="http://schemas.microsoft.com/office/drawing/2010/main">
              <a:noFill/>
            </a14:hiddenFill>
          </a:ext>
        </a:extLst>
      </xdr:spPr>
    </xdr:sp>
    <xdr:clientData/>
  </xdr:twoCellAnchor>
  <xdr:twoCellAnchor>
    <xdr:from>
      <xdr:col>9</xdr:col>
      <xdr:colOff>352428</xdr:colOff>
      <xdr:row>9</xdr:row>
      <xdr:rowOff>0</xdr:rowOff>
    </xdr:from>
    <xdr:to>
      <xdr:col>9</xdr:col>
      <xdr:colOff>352428</xdr:colOff>
      <xdr:row>11</xdr:row>
      <xdr:rowOff>38100</xdr:rowOff>
    </xdr:to>
    <xdr:sp macro="" textlink="">
      <xdr:nvSpPr>
        <xdr:cNvPr id="53" name="Line 59">
          <a:extLst>
            <a:ext uri="{FF2B5EF4-FFF2-40B4-BE49-F238E27FC236}">
              <a16:creationId xmlns:a16="http://schemas.microsoft.com/office/drawing/2014/main" id="{B17E7519-66D1-46D9-9528-E9439B1279C6}"/>
            </a:ext>
          </a:extLst>
        </xdr:cNvPr>
        <xdr:cNvSpPr>
          <a:spLocks noChangeShapeType="1"/>
        </xdr:cNvSpPr>
      </xdr:nvSpPr>
      <xdr:spPr bwMode="auto">
        <a:xfrm>
          <a:off x="5381628" y="1457325"/>
          <a:ext cx="0" cy="361950"/>
        </a:xfrm>
        <a:prstGeom prst="line">
          <a:avLst/>
        </a:prstGeom>
        <a:noFill/>
        <a:ln w="9525">
          <a:solidFill>
            <a:srgbClr xmlns:mc="http://schemas.openxmlformats.org/markup-compatibility/2006" xmlns:a14="http://schemas.microsoft.com/office/drawing/2010/main" val="000000" mc:Ignorable="a14" a14:legacySpreadsheetColorIndex="64"/>
          </a:solidFill>
          <a:prstDash val="lgDashDot"/>
          <a:round/>
          <a:headEnd/>
          <a:tailEnd/>
        </a:ln>
        <a:extLst>
          <a:ext uri="{909E8E84-426E-40DD-AFC4-6F175D3DCCD1}">
            <a14:hiddenFill xmlns:a14="http://schemas.microsoft.com/office/drawing/2010/main">
              <a:noFill/>
            </a14:hiddenFill>
          </a:ext>
        </a:extLst>
      </xdr:spPr>
    </xdr:sp>
    <xdr:clientData/>
  </xdr:twoCellAnchor>
  <xdr:twoCellAnchor>
    <xdr:from>
      <xdr:col>8</xdr:col>
      <xdr:colOff>571500</xdr:colOff>
      <xdr:row>10</xdr:row>
      <xdr:rowOff>0</xdr:rowOff>
    </xdr:from>
    <xdr:to>
      <xdr:col>8</xdr:col>
      <xdr:colOff>571500</xdr:colOff>
      <xdr:row>12</xdr:row>
      <xdr:rowOff>76200</xdr:rowOff>
    </xdr:to>
    <xdr:sp macro="" textlink="">
      <xdr:nvSpPr>
        <xdr:cNvPr id="54" name="Line 60">
          <a:extLst>
            <a:ext uri="{FF2B5EF4-FFF2-40B4-BE49-F238E27FC236}">
              <a16:creationId xmlns:a16="http://schemas.microsoft.com/office/drawing/2014/main" id="{8D01F7F2-B97F-4CD5-8083-19D0984F7DED}"/>
            </a:ext>
          </a:extLst>
        </xdr:cNvPr>
        <xdr:cNvSpPr>
          <a:spLocks noChangeShapeType="1"/>
        </xdr:cNvSpPr>
      </xdr:nvSpPr>
      <xdr:spPr bwMode="auto">
        <a:xfrm>
          <a:off x="4953000" y="16192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stealth" w="med" len="med"/>
          <a:tailEnd type="stealth" w="med" len="med"/>
        </a:ln>
        <a:extLst>
          <a:ext uri="{909E8E84-426E-40DD-AFC4-6F175D3DCCD1}">
            <a14:hiddenFill xmlns:a14="http://schemas.microsoft.com/office/drawing/2010/main">
              <a:noFill/>
            </a14:hiddenFill>
          </a:ext>
        </a:extLst>
      </xdr:spPr>
    </xdr:sp>
    <xdr:clientData/>
  </xdr:twoCellAnchor>
  <xdr:twoCellAnchor>
    <xdr:from>
      <xdr:col>8</xdr:col>
      <xdr:colOff>47625</xdr:colOff>
      <xdr:row>10</xdr:row>
      <xdr:rowOff>9525</xdr:rowOff>
    </xdr:from>
    <xdr:to>
      <xdr:col>8</xdr:col>
      <xdr:colOff>104775</xdr:colOff>
      <xdr:row>10</xdr:row>
      <xdr:rowOff>66675</xdr:rowOff>
    </xdr:to>
    <xdr:sp macro="" textlink="">
      <xdr:nvSpPr>
        <xdr:cNvPr id="55" name="AutoShape 61">
          <a:extLst>
            <a:ext uri="{FF2B5EF4-FFF2-40B4-BE49-F238E27FC236}">
              <a16:creationId xmlns:a16="http://schemas.microsoft.com/office/drawing/2014/main" id="{7E453AFC-5CC4-49F9-B672-32A063B1B340}"/>
            </a:ext>
          </a:extLst>
        </xdr:cNvPr>
        <xdr:cNvSpPr>
          <a:spLocks noChangeArrowheads="1"/>
        </xdr:cNvSpPr>
      </xdr:nvSpPr>
      <xdr:spPr bwMode="auto">
        <a:xfrm rot="10800000">
          <a:off x="4429125" y="1628775"/>
          <a:ext cx="57150" cy="57150"/>
        </a:xfrm>
        <a:prstGeom prst="rtTriangl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257175</xdr:colOff>
      <xdr:row>10</xdr:row>
      <xdr:rowOff>9525</xdr:rowOff>
    </xdr:from>
    <xdr:to>
      <xdr:col>8</xdr:col>
      <xdr:colOff>314325</xdr:colOff>
      <xdr:row>10</xdr:row>
      <xdr:rowOff>66675</xdr:rowOff>
    </xdr:to>
    <xdr:sp macro="" textlink="">
      <xdr:nvSpPr>
        <xdr:cNvPr id="56" name="AutoShape 62">
          <a:extLst>
            <a:ext uri="{FF2B5EF4-FFF2-40B4-BE49-F238E27FC236}">
              <a16:creationId xmlns:a16="http://schemas.microsoft.com/office/drawing/2014/main" id="{04BF3D11-0FF3-4C42-B42B-FF622B092D81}"/>
            </a:ext>
          </a:extLst>
        </xdr:cNvPr>
        <xdr:cNvSpPr>
          <a:spLocks noChangeArrowheads="1"/>
        </xdr:cNvSpPr>
      </xdr:nvSpPr>
      <xdr:spPr bwMode="auto">
        <a:xfrm rot="5400000">
          <a:off x="4638675" y="1628775"/>
          <a:ext cx="57150" cy="57150"/>
        </a:xfrm>
        <a:prstGeom prst="rtTriangl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104775</xdr:colOff>
      <xdr:row>12</xdr:row>
      <xdr:rowOff>114300</xdr:rowOff>
    </xdr:from>
    <xdr:to>
      <xdr:col>8</xdr:col>
      <xdr:colOff>104775</xdr:colOff>
      <xdr:row>15</xdr:row>
      <xdr:rowOff>104775</xdr:rowOff>
    </xdr:to>
    <xdr:sp macro="" textlink="">
      <xdr:nvSpPr>
        <xdr:cNvPr id="57" name="Line 63">
          <a:extLst>
            <a:ext uri="{FF2B5EF4-FFF2-40B4-BE49-F238E27FC236}">
              <a16:creationId xmlns:a16="http://schemas.microsoft.com/office/drawing/2014/main" id="{2FB05518-E3AC-415D-BD17-BCB93E1F7224}"/>
            </a:ext>
          </a:extLst>
        </xdr:cNvPr>
        <xdr:cNvSpPr>
          <a:spLocks noChangeShapeType="1"/>
        </xdr:cNvSpPr>
      </xdr:nvSpPr>
      <xdr:spPr bwMode="auto">
        <a:xfrm>
          <a:off x="4486275" y="2057400"/>
          <a:ext cx="0" cy="476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257175</xdr:colOff>
      <xdr:row>12</xdr:row>
      <xdr:rowOff>114300</xdr:rowOff>
    </xdr:from>
    <xdr:to>
      <xdr:col>8</xdr:col>
      <xdr:colOff>257175</xdr:colOff>
      <xdr:row>15</xdr:row>
      <xdr:rowOff>104775</xdr:rowOff>
    </xdr:to>
    <xdr:sp macro="" textlink="">
      <xdr:nvSpPr>
        <xdr:cNvPr id="58" name="Line 64">
          <a:extLst>
            <a:ext uri="{FF2B5EF4-FFF2-40B4-BE49-F238E27FC236}">
              <a16:creationId xmlns:a16="http://schemas.microsoft.com/office/drawing/2014/main" id="{408107A3-6658-4825-8F99-0F80EF950243}"/>
            </a:ext>
          </a:extLst>
        </xdr:cNvPr>
        <xdr:cNvSpPr>
          <a:spLocks noChangeShapeType="1"/>
        </xdr:cNvSpPr>
      </xdr:nvSpPr>
      <xdr:spPr bwMode="auto">
        <a:xfrm>
          <a:off x="4638675" y="2057400"/>
          <a:ext cx="0" cy="476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180975</xdr:colOff>
      <xdr:row>10</xdr:row>
      <xdr:rowOff>66675</xdr:rowOff>
    </xdr:from>
    <xdr:to>
      <xdr:col>7</xdr:col>
      <xdr:colOff>400050</xdr:colOff>
      <xdr:row>11</xdr:row>
      <xdr:rowOff>85725</xdr:rowOff>
    </xdr:to>
    <xdr:sp macro="" textlink="">
      <xdr:nvSpPr>
        <xdr:cNvPr id="59" name="Line 65">
          <a:extLst>
            <a:ext uri="{FF2B5EF4-FFF2-40B4-BE49-F238E27FC236}">
              <a16:creationId xmlns:a16="http://schemas.microsoft.com/office/drawing/2014/main" id="{A1D655E8-8F8E-4FFA-B9D8-38EBE12EDF91}"/>
            </a:ext>
          </a:extLst>
        </xdr:cNvPr>
        <xdr:cNvSpPr>
          <a:spLocks noChangeShapeType="1"/>
        </xdr:cNvSpPr>
      </xdr:nvSpPr>
      <xdr:spPr bwMode="auto">
        <a:xfrm flipV="1">
          <a:off x="3914775" y="1685925"/>
          <a:ext cx="219075"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7</xdr:col>
      <xdr:colOff>200025</xdr:colOff>
      <xdr:row>10</xdr:row>
      <xdr:rowOff>47625</xdr:rowOff>
    </xdr:from>
    <xdr:to>
      <xdr:col>8</xdr:col>
      <xdr:colOff>47625</xdr:colOff>
      <xdr:row>12</xdr:row>
      <xdr:rowOff>38100</xdr:rowOff>
    </xdr:to>
    <xdr:sp macro="" textlink="">
      <xdr:nvSpPr>
        <xdr:cNvPr id="60" name="Line 66">
          <a:extLst>
            <a:ext uri="{FF2B5EF4-FFF2-40B4-BE49-F238E27FC236}">
              <a16:creationId xmlns:a16="http://schemas.microsoft.com/office/drawing/2014/main" id="{DBEB812A-6F3C-459B-B6D6-7E6CF551D22A}"/>
            </a:ext>
          </a:extLst>
        </xdr:cNvPr>
        <xdr:cNvSpPr>
          <a:spLocks noChangeShapeType="1"/>
        </xdr:cNvSpPr>
      </xdr:nvSpPr>
      <xdr:spPr bwMode="auto">
        <a:xfrm flipV="1">
          <a:off x="3933825" y="1666875"/>
          <a:ext cx="495300" cy="3143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8</xdr:col>
      <xdr:colOff>257175</xdr:colOff>
      <xdr:row>12</xdr:row>
      <xdr:rowOff>9525</xdr:rowOff>
    </xdr:from>
    <xdr:to>
      <xdr:col>9</xdr:col>
      <xdr:colOff>76200</xdr:colOff>
      <xdr:row>13</xdr:row>
      <xdr:rowOff>142875</xdr:rowOff>
    </xdr:to>
    <xdr:sp macro="" textlink="">
      <xdr:nvSpPr>
        <xdr:cNvPr id="61" name="Line 67">
          <a:extLst>
            <a:ext uri="{FF2B5EF4-FFF2-40B4-BE49-F238E27FC236}">
              <a16:creationId xmlns:a16="http://schemas.microsoft.com/office/drawing/2014/main" id="{BEF1AE2F-6676-4613-80A4-01241AA4B87A}"/>
            </a:ext>
          </a:extLst>
        </xdr:cNvPr>
        <xdr:cNvSpPr>
          <a:spLocks noChangeShapeType="1"/>
        </xdr:cNvSpPr>
      </xdr:nvSpPr>
      <xdr:spPr bwMode="auto">
        <a:xfrm flipH="1" flipV="1">
          <a:off x="4638675" y="1952625"/>
          <a:ext cx="466725" cy="295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7</xdr:col>
      <xdr:colOff>27212</xdr:colOff>
      <xdr:row>9</xdr:row>
      <xdr:rowOff>0</xdr:rowOff>
    </xdr:from>
    <xdr:to>
      <xdr:col>7</xdr:col>
      <xdr:colOff>27212</xdr:colOff>
      <xdr:row>11</xdr:row>
      <xdr:rowOff>0</xdr:rowOff>
    </xdr:to>
    <xdr:sp macro="" textlink="">
      <xdr:nvSpPr>
        <xdr:cNvPr id="62" name="Line 68">
          <a:extLst>
            <a:ext uri="{FF2B5EF4-FFF2-40B4-BE49-F238E27FC236}">
              <a16:creationId xmlns:a16="http://schemas.microsoft.com/office/drawing/2014/main" id="{2FAE6310-A117-4F7B-9E29-814392F90F63}"/>
            </a:ext>
          </a:extLst>
        </xdr:cNvPr>
        <xdr:cNvSpPr>
          <a:spLocks noChangeShapeType="1"/>
        </xdr:cNvSpPr>
      </xdr:nvSpPr>
      <xdr:spPr bwMode="auto">
        <a:xfrm>
          <a:off x="3761012" y="14573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9</xdr:col>
      <xdr:colOff>419103</xdr:colOff>
      <xdr:row>9</xdr:row>
      <xdr:rowOff>0</xdr:rowOff>
    </xdr:from>
    <xdr:to>
      <xdr:col>9</xdr:col>
      <xdr:colOff>419103</xdr:colOff>
      <xdr:row>11</xdr:row>
      <xdr:rowOff>0</xdr:rowOff>
    </xdr:to>
    <xdr:sp macro="" textlink="">
      <xdr:nvSpPr>
        <xdr:cNvPr id="63" name="Line 69">
          <a:extLst>
            <a:ext uri="{FF2B5EF4-FFF2-40B4-BE49-F238E27FC236}">
              <a16:creationId xmlns:a16="http://schemas.microsoft.com/office/drawing/2014/main" id="{D50F1D25-1597-424E-B1F1-B67F2118B6C2}"/>
            </a:ext>
          </a:extLst>
        </xdr:cNvPr>
        <xdr:cNvSpPr>
          <a:spLocks noChangeShapeType="1"/>
        </xdr:cNvSpPr>
      </xdr:nvSpPr>
      <xdr:spPr bwMode="auto">
        <a:xfrm>
          <a:off x="5448303" y="14573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9</xdr:col>
      <xdr:colOff>285753</xdr:colOff>
      <xdr:row>9</xdr:row>
      <xdr:rowOff>0</xdr:rowOff>
    </xdr:from>
    <xdr:to>
      <xdr:col>9</xdr:col>
      <xdr:colOff>285753</xdr:colOff>
      <xdr:row>11</xdr:row>
      <xdr:rowOff>0</xdr:rowOff>
    </xdr:to>
    <xdr:sp macro="" textlink="">
      <xdr:nvSpPr>
        <xdr:cNvPr id="128" name="Line 70">
          <a:extLst>
            <a:ext uri="{FF2B5EF4-FFF2-40B4-BE49-F238E27FC236}">
              <a16:creationId xmlns:a16="http://schemas.microsoft.com/office/drawing/2014/main" id="{59744C2C-3075-41A2-91EA-F6211CA18D7A}"/>
            </a:ext>
          </a:extLst>
        </xdr:cNvPr>
        <xdr:cNvSpPr>
          <a:spLocks noChangeShapeType="1"/>
        </xdr:cNvSpPr>
      </xdr:nvSpPr>
      <xdr:spPr bwMode="auto">
        <a:xfrm>
          <a:off x="5314953" y="14573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7</xdr:col>
      <xdr:colOff>160562</xdr:colOff>
      <xdr:row>9</xdr:row>
      <xdr:rowOff>0</xdr:rowOff>
    </xdr:from>
    <xdr:to>
      <xdr:col>7</xdr:col>
      <xdr:colOff>160562</xdr:colOff>
      <xdr:row>11</xdr:row>
      <xdr:rowOff>0</xdr:rowOff>
    </xdr:to>
    <xdr:sp macro="" textlink="">
      <xdr:nvSpPr>
        <xdr:cNvPr id="129" name="Line 71">
          <a:extLst>
            <a:ext uri="{FF2B5EF4-FFF2-40B4-BE49-F238E27FC236}">
              <a16:creationId xmlns:a16="http://schemas.microsoft.com/office/drawing/2014/main" id="{622A502D-5E68-4701-B566-B340EE6BB5AB}"/>
            </a:ext>
          </a:extLst>
        </xdr:cNvPr>
        <xdr:cNvSpPr>
          <a:spLocks noChangeShapeType="1"/>
        </xdr:cNvSpPr>
      </xdr:nvSpPr>
      <xdr:spPr bwMode="auto">
        <a:xfrm>
          <a:off x="3894362" y="14573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76200</xdr:rowOff>
    </xdr:from>
    <xdr:to>
      <xdr:col>9</xdr:col>
      <xdr:colOff>76200</xdr:colOff>
      <xdr:row>12</xdr:row>
      <xdr:rowOff>76200</xdr:rowOff>
    </xdr:to>
    <xdr:sp macro="" textlink="">
      <xdr:nvSpPr>
        <xdr:cNvPr id="130" name="Line 72">
          <a:extLst>
            <a:ext uri="{FF2B5EF4-FFF2-40B4-BE49-F238E27FC236}">
              <a16:creationId xmlns:a16="http://schemas.microsoft.com/office/drawing/2014/main" id="{BF7CE55B-78E8-406B-8EAF-B89B8AF5C74D}"/>
            </a:ext>
          </a:extLst>
        </xdr:cNvPr>
        <xdr:cNvSpPr>
          <a:spLocks noChangeShapeType="1"/>
        </xdr:cNvSpPr>
      </xdr:nvSpPr>
      <xdr:spPr bwMode="auto">
        <a:xfrm>
          <a:off x="4676775" y="2019300"/>
          <a:ext cx="4286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371475</xdr:colOff>
      <xdr:row>2</xdr:row>
      <xdr:rowOff>144412</xdr:rowOff>
    </xdr:from>
    <xdr:to>
      <xdr:col>7</xdr:col>
      <xdr:colOff>434438</xdr:colOff>
      <xdr:row>9</xdr:row>
      <xdr:rowOff>0</xdr:rowOff>
    </xdr:to>
    <xdr:sp macro="" textlink="">
      <xdr:nvSpPr>
        <xdr:cNvPr id="131" name="Rectangle 6">
          <a:extLst>
            <a:ext uri="{FF2B5EF4-FFF2-40B4-BE49-F238E27FC236}">
              <a16:creationId xmlns:a16="http://schemas.microsoft.com/office/drawing/2014/main" id="{4E7AADEA-582B-4DC3-9230-7DB416988450}"/>
            </a:ext>
          </a:extLst>
        </xdr:cNvPr>
        <xdr:cNvSpPr>
          <a:spLocks noChangeArrowheads="1"/>
        </xdr:cNvSpPr>
      </xdr:nvSpPr>
      <xdr:spPr bwMode="auto">
        <a:xfrm>
          <a:off x="4105275" y="468262"/>
          <a:ext cx="62963" cy="989063"/>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600074</xdr:colOff>
      <xdr:row>2</xdr:row>
      <xdr:rowOff>85725</xdr:rowOff>
    </xdr:from>
    <xdr:to>
      <xdr:col>9</xdr:col>
      <xdr:colOff>9525</xdr:colOff>
      <xdr:row>9</xdr:row>
      <xdr:rowOff>0</xdr:rowOff>
    </xdr:to>
    <xdr:sp macro="" textlink="">
      <xdr:nvSpPr>
        <xdr:cNvPr id="132" name="Rectangle 7">
          <a:extLst>
            <a:ext uri="{FF2B5EF4-FFF2-40B4-BE49-F238E27FC236}">
              <a16:creationId xmlns:a16="http://schemas.microsoft.com/office/drawing/2014/main" id="{0F453491-F03B-404F-B519-3A67C9BC4ACC}"/>
            </a:ext>
          </a:extLst>
        </xdr:cNvPr>
        <xdr:cNvSpPr>
          <a:spLocks noChangeArrowheads="1"/>
        </xdr:cNvSpPr>
      </xdr:nvSpPr>
      <xdr:spPr bwMode="auto">
        <a:xfrm>
          <a:off x="4981574" y="409575"/>
          <a:ext cx="57151" cy="10477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180975</xdr:colOff>
      <xdr:row>4</xdr:row>
      <xdr:rowOff>19050</xdr:rowOff>
    </xdr:from>
    <xdr:to>
      <xdr:col>8</xdr:col>
      <xdr:colOff>180975</xdr:colOff>
      <xdr:row>8</xdr:row>
      <xdr:rowOff>142875</xdr:rowOff>
    </xdr:to>
    <xdr:sp macro="" textlink="">
      <xdr:nvSpPr>
        <xdr:cNvPr id="133" name="Line 13">
          <a:extLst>
            <a:ext uri="{FF2B5EF4-FFF2-40B4-BE49-F238E27FC236}">
              <a16:creationId xmlns:a16="http://schemas.microsoft.com/office/drawing/2014/main" id="{85051598-03F2-4143-8C75-98290F934B5F}"/>
            </a:ext>
          </a:extLst>
        </xdr:cNvPr>
        <xdr:cNvSpPr>
          <a:spLocks noChangeShapeType="1"/>
        </xdr:cNvSpPr>
      </xdr:nvSpPr>
      <xdr:spPr bwMode="auto">
        <a:xfrm>
          <a:off x="4562475" y="666750"/>
          <a:ext cx="0" cy="7715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9</xdr:col>
      <xdr:colOff>9525</xdr:colOff>
      <xdr:row>5</xdr:row>
      <xdr:rowOff>85725</xdr:rowOff>
    </xdr:from>
    <xdr:to>
      <xdr:col>9</xdr:col>
      <xdr:colOff>190500</xdr:colOff>
      <xdr:row>5</xdr:row>
      <xdr:rowOff>85725</xdr:rowOff>
    </xdr:to>
    <xdr:sp macro="" textlink="">
      <xdr:nvSpPr>
        <xdr:cNvPr id="134" name="Line 18">
          <a:extLst>
            <a:ext uri="{FF2B5EF4-FFF2-40B4-BE49-F238E27FC236}">
              <a16:creationId xmlns:a16="http://schemas.microsoft.com/office/drawing/2014/main" id="{40B394BB-E420-4E88-964A-77FF9F4BFBE9}"/>
            </a:ext>
          </a:extLst>
        </xdr:cNvPr>
        <xdr:cNvSpPr>
          <a:spLocks noChangeShapeType="1"/>
        </xdr:cNvSpPr>
      </xdr:nvSpPr>
      <xdr:spPr bwMode="auto">
        <a:xfrm flipH="1">
          <a:off x="5038725" y="895350"/>
          <a:ext cx="1809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7</xdr:col>
      <xdr:colOff>36737</xdr:colOff>
      <xdr:row>7</xdr:row>
      <xdr:rowOff>123825</xdr:rowOff>
    </xdr:from>
    <xdr:to>
      <xdr:col>7</xdr:col>
      <xdr:colOff>151037</xdr:colOff>
      <xdr:row>8</xdr:row>
      <xdr:rowOff>28575</xdr:rowOff>
    </xdr:to>
    <xdr:sp macro="" textlink="">
      <xdr:nvSpPr>
        <xdr:cNvPr id="135" name="Rectangle 23" descr="Narrow horizontal">
          <a:extLst>
            <a:ext uri="{FF2B5EF4-FFF2-40B4-BE49-F238E27FC236}">
              <a16:creationId xmlns:a16="http://schemas.microsoft.com/office/drawing/2014/main" id="{5D4B5B11-59A0-4EA4-B44D-E5E883F7FFB2}"/>
            </a:ext>
          </a:extLst>
        </xdr:cNvPr>
        <xdr:cNvSpPr>
          <a:spLocks noChangeArrowheads="1"/>
        </xdr:cNvSpPr>
      </xdr:nvSpPr>
      <xdr:spPr bwMode="auto">
        <a:xfrm>
          <a:off x="3770537" y="1257300"/>
          <a:ext cx="114300" cy="66675"/>
        </a:xfrm>
        <a:prstGeom prst="rect">
          <a:avLst/>
        </a:prstGeom>
        <a:pattFill prst="narHorz">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295277</xdr:colOff>
      <xdr:row>7</xdr:row>
      <xdr:rowOff>123825</xdr:rowOff>
    </xdr:from>
    <xdr:to>
      <xdr:col>9</xdr:col>
      <xdr:colOff>409577</xdr:colOff>
      <xdr:row>8</xdr:row>
      <xdr:rowOff>28575</xdr:rowOff>
    </xdr:to>
    <xdr:sp macro="" textlink="">
      <xdr:nvSpPr>
        <xdr:cNvPr id="136" name="Rectangle 25" descr="Narrow horizontal">
          <a:extLst>
            <a:ext uri="{FF2B5EF4-FFF2-40B4-BE49-F238E27FC236}">
              <a16:creationId xmlns:a16="http://schemas.microsoft.com/office/drawing/2014/main" id="{4819B690-82E6-4143-A3E9-0F316301EBDD}"/>
            </a:ext>
          </a:extLst>
        </xdr:cNvPr>
        <xdr:cNvSpPr>
          <a:spLocks noChangeArrowheads="1"/>
        </xdr:cNvSpPr>
      </xdr:nvSpPr>
      <xdr:spPr bwMode="auto">
        <a:xfrm>
          <a:off x="5324477" y="1257300"/>
          <a:ext cx="114300" cy="66675"/>
        </a:xfrm>
        <a:prstGeom prst="rect">
          <a:avLst/>
        </a:prstGeom>
        <a:pattFill prst="narHorz">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80051</xdr:colOff>
      <xdr:row>6</xdr:row>
      <xdr:rowOff>97971</xdr:rowOff>
    </xdr:from>
    <xdr:to>
      <xdr:col>11</xdr:col>
      <xdr:colOff>319537</xdr:colOff>
      <xdr:row>9</xdr:row>
      <xdr:rowOff>5443</xdr:rowOff>
    </xdr:to>
    <xdr:cxnSp macro="">
      <xdr:nvCxnSpPr>
        <xdr:cNvPr id="137" name="Straight Connector 136">
          <a:extLst>
            <a:ext uri="{FF2B5EF4-FFF2-40B4-BE49-F238E27FC236}">
              <a16:creationId xmlns:a16="http://schemas.microsoft.com/office/drawing/2014/main" id="{2D14C305-7727-448A-8E8E-2930EF62615E}"/>
            </a:ext>
          </a:extLst>
        </xdr:cNvPr>
        <xdr:cNvCxnSpPr/>
      </xdr:nvCxnSpPr>
      <xdr:spPr>
        <a:xfrm flipV="1">
          <a:off x="5756951" y="1069521"/>
          <a:ext cx="887186" cy="3932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85494</xdr:colOff>
      <xdr:row>7</xdr:row>
      <xdr:rowOff>103396</xdr:rowOff>
    </xdr:from>
    <xdr:to>
      <xdr:col>11</xdr:col>
      <xdr:colOff>300404</xdr:colOff>
      <xdr:row>10</xdr:row>
      <xdr:rowOff>0</xdr:rowOff>
    </xdr:to>
    <xdr:cxnSp macro="">
      <xdr:nvCxnSpPr>
        <xdr:cNvPr id="138" name="Straight Connector 137">
          <a:extLst>
            <a:ext uri="{FF2B5EF4-FFF2-40B4-BE49-F238E27FC236}">
              <a16:creationId xmlns:a16="http://schemas.microsoft.com/office/drawing/2014/main" id="{FAF368CA-8356-417D-ACF0-4C24455837F5}"/>
            </a:ext>
          </a:extLst>
        </xdr:cNvPr>
        <xdr:cNvCxnSpPr/>
      </xdr:nvCxnSpPr>
      <xdr:spPr>
        <a:xfrm flipV="1">
          <a:off x="5762394" y="1236871"/>
          <a:ext cx="862610" cy="38237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230444</xdr:colOff>
      <xdr:row>6</xdr:row>
      <xdr:rowOff>97268</xdr:rowOff>
    </xdr:from>
    <xdr:to>
      <xdr:col>11</xdr:col>
      <xdr:colOff>320386</xdr:colOff>
      <xdr:row>6</xdr:row>
      <xdr:rowOff>97268</xdr:rowOff>
    </xdr:to>
    <xdr:cxnSp macro="">
      <xdr:nvCxnSpPr>
        <xdr:cNvPr id="139" name="Straight Connector 138">
          <a:extLst>
            <a:ext uri="{FF2B5EF4-FFF2-40B4-BE49-F238E27FC236}">
              <a16:creationId xmlns:a16="http://schemas.microsoft.com/office/drawing/2014/main" id="{7A4704FC-22EA-4A70-B214-EBBF2F435700}"/>
            </a:ext>
          </a:extLst>
        </xdr:cNvPr>
        <xdr:cNvCxnSpPr/>
      </xdr:nvCxnSpPr>
      <xdr:spPr>
        <a:xfrm flipH="1">
          <a:off x="5259644" y="1068818"/>
          <a:ext cx="138534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320240</xdr:colOff>
      <xdr:row>6</xdr:row>
      <xdr:rowOff>97971</xdr:rowOff>
    </xdr:from>
    <xdr:to>
      <xdr:col>11</xdr:col>
      <xdr:colOff>320240</xdr:colOff>
      <xdr:row>7</xdr:row>
      <xdr:rowOff>92528</xdr:rowOff>
    </xdr:to>
    <xdr:cxnSp macro="">
      <xdr:nvCxnSpPr>
        <xdr:cNvPr id="140" name="Straight Connector 139">
          <a:extLst>
            <a:ext uri="{FF2B5EF4-FFF2-40B4-BE49-F238E27FC236}">
              <a16:creationId xmlns:a16="http://schemas.microsoft.com/office/drawing/2014/main" id="{C1AB803B-3B0E-4505-8C6B-84BFDB14A1C5}"/>
            </a:ext>
          </a:extLst>
        </xdr:cNvPr>
        <xdr:cNvCxnSpPr/>
      </xdr:nvCxnSpPr>
      <xdr:spPr>
        <a:xfrm>
          <a:off x="6644840" y="1069521"/>
          <a:ext cx="0" cy="1564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4740</xdr:colOff>
      <xdr:row>1</xdr:row>
      <xdr:rowOff>160673</xdr:rowOff>
    </xdr:from>
    <xdr:to>
      <xdr:col>9</xdr:col>
      <xdr:colOff>222849</xdr:colOff>
      <xdr:row>2</xdr:row>
      <xdr:rowOff>89456</xdr:rowOff>
    </xdr:to>
    <xdr:cxnSp macro="">
      <xdr:nvCxnSpPr>
        <xdr:cNvPr id="141" name="Straight Connector 140">
          <a:extLst>
            <a:ext uri="{FF2B5EF4-FFF2-40B4-BE49-F238E27FC236}">
              <a16:creationId xmlns:a16="http://schemas.microsoft.com/office/drawing/2014/main" id="{1F1C6FE6-2C26-4191-B26A-6DD3C443BC9B}"/>
            </a:ext>
          </a:extLst>
        </xdr:cNvPr>
        <xdr:cNvCxnSpPr>
          <a:endCxn id="146" idx="1"/>
        </xdr:cNvCxnSpPr>
      </xdr:nvCxnSpPr>
      <xdr:spPr>
        <a:xfrm flipV="1">
          <a:off x="5033940" y="322598"/>
          <a:ext cx="218109" cy="907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223671</xdr:colOff>
      <xdr:row>2</xdr:row>
      <xdr:rowOff>3594</xdr:rowOff>
    </xdr:from>
    <xdr:to>
      <xdr:col>9</xdr:col>
      <xdr:colOff>223671</xdr:colOff>
      <xdr:row>8</xdr:row>
      <xdr:rowOff>65315</xdr:rowOff>
    </xdr:to>
    <xdr:cxnSp macro="">
      <xdr:nvCxnSpPr>
        <xdr:cNvPr id="142" name="Straight Connector 141">
          <a:extLst>
            <a:ext uri="{FF2B5EF4-FFF2-40B4-BE49-F238E27FC236}">
              <a16:creationId xmlns:a16="http://schemas.microsoft.com/office/drawing/2014/main" id="{1E0BE244-9A87-4279-B392-3E82F70E2EE3}"/>
            </a:ext>
          </a:extLst>
        </xdr:cNvPr>
        <xdr:cNvCxnSpPr/>
      </xdr:nvCxnSpPr>
      <xdr:spPr>
        <a:xfrm>
          <a:off x="5252871" y="327444"/>
          <a:ext cx="0" cy="103327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8</xdr:row>
      <xdr:rowOff>65421</xdr:rowOff>
    </xdr:from>
    <xdr:to>
      <xdr:col>9</xdr:col>
      <xdr:colOff>223157</xdr:colOff>
      <xdr:row>8</xdr:row>
      <xdr:rowOff>161244</xdr:rowOff>
    </xdr:to>
    <xdr:cxnSp macro="">
      <xdr:nvCxnSpPr>
        <xdr:cNvPr id="143" name="Straight Connector 142">
          <a:extLst>
            <a:ext uri="{FF2B5EF4-FFF2-40B4-BE49-F238E27FC236}">
              <a16:creationId xmlns:a16="http://schemas.microsoft.com/office/drawing/2014/main" id="{8A474DE3-C05D-4ABB-8DF2-C76A4C264840}"/>
            </a:ext>
          </a:extLst>
        </xdr:cNvPr>
        <xdr:cNvCxnSpPr>
          <a:cxnSpLocks/>
        </xdr:cNvCxnSpPr>
      </xdr:nvCxnSpPr>
      <xdr:spPr>
        <a:xfrm flipV="1">
          <a:off x="5038725" y="1360821"/>
          <a:ext cx="213632" cy="9582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548598</xdr:colOff>
      <xdr:row>2</xdr:row>
      <xdr:rowOff>93453</xdr:rowOff>
    </xdr:from>
    <xdr:to>
      <xdr:col>7</xdr:col>
      <xdr:colOff>548598</xdr:colOff>
      <xdr:row>8</xdr:row>
      <xdr:rowOff>105674</xdr:rowOff>
    </xdr:to>
    <xdr:cxnSp macro="">
      <xdr:nvCxnSpPr>
        <xdr:cNvPr id="144" name="Straight Connector 143">
          <a:extLst>
            <a:ext uri="{FF2B5EF4-FFF2-40B4-BE49-F238E27FC236}">
              <a16:creationId xmlns:a16="http://schemas.microsoft.com/office/drawing/2014/main" id="{0BC0F0C0-4F23-4166-BC79-E0EC70AD9E65}"/>
            </a:ext>
          </a:extLst>
        </xdr:cNvPr>
        <xdr:cNvCxnSpPr/>
      </xdr:nvCxnSpPr>
      <xdr:spPr>
        <a:xfrm>
          <a:off x="4282398" y="417303"/>
          <a:ext cx="0" cy="98377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433400</xdr:colOff>
      <xdr:row>8</xdr:row>
      <xdr:rowOff>107830</xdr:rowOff>
    </xdr:from>
    <xdr:to>
      <xdr:col>7</xdr:col>
      <xdr:colOff>543323</xdr:colOff>
      <xdr:row>8</xdr:row>
      <xdr:rowOff>157135</xdr:rowOff>
    </xdr:to>
    <xdr:cxnSp macro="">
      <xdr:nvCxnSpPr>
        <xdr:cNvPr id="145" name="Straight Connector 144">
          <a:extLst>
            <a:ext uri="{FF2B5EF4-FFF2-40B4-BE49-F238E27FC236}">
              <a16:creationId xmlns:a16="http://schemas.microsoft.com/office/drawing/2014/main" id="{7D618438-DE38-49FD-8740-AF3620F04CDD}"/>
            </a:ext>
          </a:extLst>
        </xdr:cNvPr>
        <xdr:cNvCxnSpPr>
          <a:cxnSpLocks/>
        </xdr:cNvCxnSpPr>
      </xdr:nvCxnSpPr>
      <xdr:spPr>
        <a:xfrm flipV="1">
          <a:off x="4167200" y="1403230"/>
          <a:ext cx="109923" cy="4930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156534</xdr:colOff>
      <xdr:row>1</xdr:row>
      <xdr:rowOff>160672</xdr:rowOff>
    </xdr:from>
    <xdr:to>
      <xdr:col>9</xdr:col>
      <xdr:colOff>222849</xdr:colOff>
      <xdr:row>1</xdr:row>
      <xdr:rowOff>160672</xdr:rowOff>
    </xdr:to>
    <xdr:sp macro="" textlink="">
      <xdr:nvSpPr>
        <xdr:cNvPr id="146" name="Line 9">
          <a:extLst>
            <a:ext uri="{FF2B5EF4-FFF2-40B4-BE49-F238E27FC236}">
              <a16:creationId xmlns:a16="http://schemas.microsoft.com/office/drawing/2014/main" id="{7CA32A45-C57B-4499-9B4C-BE6047540DB6}"/>
            </a:ext>
          </a:extLst>
        </xdr:cNvPr>
        <xdr:cNvSpPr>
          <a:spLocks noChangeShapeType="1"/>
        </xdr:cNvSpPr>
      </xdr:nvSpPr>
      <xdr:spPr bwMode="auto">
        <a:xfrm>
          <a:off x="5185734" y="322597"/>
          <a:ext cx="663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603709</xdr:colOff>
      <xdr:row>1</xdr:row>
      <xdr:rowOff>160672</xdr:rowOff>
    </xdr:from>
    <xdr:to>
      <xdr:col>9</xdr:col>
      <xdr:colOff>156534</xdr:colOff>
      <xdr:row>2</xdr:row>
      <xdr:rowOff>85725</xdr:rowOff>
    </xdr:to>
    <xdr:cxnSp macro="">
      <xdr:nvCxnSpPr>
        <xdr:cNvPr id="147" name="Straight Connector 146">
          <a:extLst>
            <a:ext uri="{FF2B5EF4-FFF2-40B4-BE49-F238E27FC236}">
              <a16:creationId xmlns:a16="http://schemas.microsoft.com/office/drawing/2014/main" id="{1AF904A7-D428-4B01-8742-D0E5875F0B82}"/>
            </a:ext>
          </a:extLst>
        </xdr:cNvPr>
        <xdr:cNvCxnSpPr>
          <a:endCxn id="146" idx="0"/>
        </xdr:cNvCxnSpPr>
      </xdr:nvCxnSpPr>
      <xdr:spPr>
        <a:xfrm flipV="1">
          <a:off x="4985209" y="322597"/>
          <a:ext cx="200525" cy="8697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539499</xdr:colOff>
      <xdr:row>8</xdr:row>
      <xdr:rowOff>107002</xdr:rowOff>
    </xdr:from>
    <xdr:to>
      <xdr:col>8</xdr:col>
      <xdr:colOff>593008</xdr:colOff>
      <xdr:row>8</xdr:row>
      <xdr:rowOff>107002</xdr:rowOff>
    </xdr:to>
    <xdr:sp macro="" textlink="">
      <xdr:nvSpPr>
        <xdr:cNvPr id="148" name="Line 8">
          <a:extLst>
            <a:ext uri="{FF2B5EF4-FFF2-40B4-BE49-F238E27FC236}">
              <a16:creationId xmlns:a16="http://schemas.microsoft.com/office/drawing/2014/main" id="{8AA0F380-9C02-454B-BA87-7664A0A98B66}"/>
            </a:ext>
          </a:extLst>
        </xdr:cNvPr>
        <xdr:cNvSpPr>
          <a:spLocks noChangeShapeType="1"/>
        </xdr:cNvSpPr>
      </xdr:nvSpPr>
      <xdr:spPr bwMode="auto">
        <a:xfrm>
          <a:off x="4273299" y="1402402"/>
          <a:ext cx="70120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432311</xdr:colOff>
      <xdr:row>2</xdr:row>
      <xdr:rowOff>85639</xdr:rowOff>
    </xdr:from>
    <xdr:to>
      <xdr:col>7</xdr:col>
      <xdr:colOff>560070</xdr:colOff>
      <xdr:row>2</xdr:row>
      <xdr:rowOff>143389</xdr:rowOff>
    </xdr:to>
    <xdr:cxnSp macro="">
      <xdr:nvCxnSpPr>
        <xdr:cNvPr id="149" name="Straight Connector 148">
          <a:extLst>
            <a:ext uri="{FF2B5EF4-FFF2-40B4-BE49-F238E27FC236}">
              <a16:creationId xmlns:a16="http://schemas.microsoft.com/office/drawing/2014/main" id="{AF9B4B8C-C676-48EB-A112-C9F61800BF57}"/>
            </a:ext>
          </a:extLst>
        </xdr:cNvPr>
        <xdr:cNvCxnSpPr/>
      </xdr:nvCxnSpPr>
      <xdr:spPr>
        <a:xfrm flipV="1">
          <a:off x="4166111" y="409489"/>
          <a:ext cx="127759" cy="57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373335</xdr:colOff>
      <xdr:row>2</xdr:row>
      <xdr:rowOff>16866</xdr:rowOff>
    </xdr:from>
    <xdr:to>
      <xdr:col>8</xdr:col>
      <xdr:colOff>994</xdr:colOff>
      <xdr:row>2</xdr:row>
      <xdr:rowOff>141774</xdr:rowOff>
    </xdr:to>
    <xdr:cxnSp macro="">
      <xdr:nvCxnSpPr>
        <xdr:cNvPr id="150" name="Straight Connector 149">
          <a:extLst>
            <a:ext uri="{FF2B5EF4-FFF2-40B4-BE49-F238E27FC236}">
              <a16:creationId xmlns:a16="http://schemas.microsoft.com/office/drawing/2014/main" id="{7BC4779A-1E6F-44A1-9751-FDC4C0BA3EB8}"/>
            </a:ext>
          </a:extLst>
        </xdr:cNvPr>
        <xdr:cNvCxnSpPr/>
      </xdr:nvCxnSpPr>
      <xdr:spPr>
        <a:xfrm flipV="1">
          <a:off x="4107135" y="340716"/>
          <a:ext cx="275359" cy="1249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1292</xdr:colOff>
      <xdr:row>2</xdr:row>
      <xdr:rowOff>16568</xdr:rowOff>
    </xdr:from>
    <xdr:to>
      <xdr:col>8</xdr:col>
      <xdr:colOff>68725</xdr:colOff>
      <xdr:row>2</xdr:row>
      <xdr:rowOff>16568</xdr:rowOff>
    </xdr:to>
    <xdr:sp macro="" textlink="">
      <xdr:nvSpPr>
        <xdr:cNvPr id="151" name="Line 9">
          <a:extLst>
            <a:ext uri="{FF2B5EF4-FFF2-40B4-BE49-F238E27FC236}">
              <a16:creationId xmlns:a16="http://schemas.microsoft.com/office/drawing/2014/main" id="{46CC5FBB-6D91-417A-8AB1-B1737D3C48B5}"/>
            </a:ext>
          </a:extLst>
        </xdr:cNvPr>
        <xdr:cNvSpPr>
          <a:spLocks noChangeShapeType="1"/>
        </xdr:cNvSpPr>
      </xdr:nvSpPr>
      <xdr:spPr bwMode="auto">
        <a:xfrm>
          <a:off x="4382792" y="340418"/>
          <a:ext cx="6743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615662</xdr:colOff>
      <xdr:row>2</xdr:row>
      <xdr:rowOff>64944</xdr:rowOff>
    </xdr:from>
    <xdr:to>
      <xdr:col>9</xdr:col>
      <xdr:colOff>9385</xdr:colOff>
      <xdr:row>2</xdr:row>
      <xdr:rowOff>64944</xdr:rowOff>
    </xdr:to>
    <xdr:sp macro="" textlink="">
      <xdr:nvSpPr>
        <xdr:cNvPr id="152" name="Line 9">
          <a:extLst>
            <a:ext uri="{FF2B5EF4-FFF2-40B4-BE49-F238E27FC236}">
              <a16:creationId xmlns:a16="http://schemas.microsoft.com/office/drawing/2014/main" id="{B0174745-3B40-4E76-906A-4265255B0C5E}"/>
            </a:ext>
          </a:extLst>
        </xdr:cNvPr>
        <xdr:cNvSpPr>
          <a:spLocks noChangeShapeType="1"/>
        </xdr:cNvSpPr>
      </xdr:nvSpPr>
      <xdr:spPr bwMode="auto">
        <a:xfrm>
          <a:off x="4349462" y="388794"/>
          <a:ext cx="68912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68725</xdr:colOff>
      <xdr:row>2</xdr:row>
      <xdr:rowOff>16569</xdr:rowOff>
    </xdr:from>
    <xdr:to>
      <xdr:col>8</xdr:col>
      <xdr:colOff>68725</xdr:colOff>
      <xdr:row>2</xdr:row>
      <xdr:rowOff>67456</xdr:rowOff>
    </xdr:to>
    <xdr:cxnSp macro="">
      <xdr:nvCxnSpPr>
        <xdr:cNvPr id="153" name="Straight Connector 152">
          <a:extLst>
            <a:ext uri="{FF2B5EF4-FFF2-40B4-BE49-F238E27FC236}">
              <a16:creationId xmlns:a16="http://schemas.microsoft.com/office/drawing/2014/main" id="{A55BDFCE-A48B-4B16-B8CD-5964ADB17D5E}"/>
            </a:ext>
          </a:extLst>
        </xdr:cNvPr>
        <xdr:cNvCxnSpPr>
          <a:stCxn id="151" idx="1"/>
        </xdr:cNvCxnSpPr>
      </xdr:nvCxnSpPr>
      <xdr:spPr>
        <a:xfrm>
          <a:off x="4450225" y="340419"/>
          <a:ext cx="0" cy="508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615662</xdr:colOff>
      <xdr:row>2</xdr:row>
      <xdr:rowOff>16569</xdr:rowOff>
    </xdr:from>
    <xdr:to>
      <xdr:col>8</xdr:col>
      <xdr:colOff>68725</xdr:colOff>
      <xdr:row>2</xdr:row>
      <xdr:rowOff>64944</xdr:rowOff>
    </xdr:to>
    <xdr:cxnSp macro="">
      <xdr:nvCxnSpPr>
        <xdr:cNvPr id="154" name="Straight Connector 153">
          <a:extLst>
            <a:ext uri="{FF2B5EF4-FFF2-40B4-BE49-F238E27FC236}">
              <a16:creationId xmlns:a16="http://schemas.microsoft.com/office/drawing/2014/main" id="{B430068A-5C0D-4D6F-853C-CA0BEC1DC89E}"/>
            </a:ext>
          </a:extLst>
        </xdr:cNvPr>
        <xdr:cNvCxnSpPr>
          <a:stCxn id="152" idx="0"/>
          <a:endCxn id="151" idx="1"/>
        </xdr:cNvCxnSpPr>
      </xdr:nvCxnSpPr>
      <xdr:spPr>
        <a:xfrm flipV="1">
          <a:off x="4349462" y="340419"/>
          <a:ext cx="100763" cy="483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236348</xdr:colOff>
      <xdr:row>6</xdr:row>
      <xdr:rowOff>134744</xdr:rowOff>
    </xdr:from>
    <xdr:to>
      <xdr:col>7</xdr:col>
      <xdr:colOff>372236</xdr:colOff>
      <xdr:row>9</xdr:row>
      <xdr:rowOff>0</xdr:rowOff>
    </xdr:to>
    <xdr:cxnSp macro="">
      <xdr:nvCxnSpPr>
        <xdr:cNvPr id="155" name="Straight Connector 154">
          <a:extLst>
            <a:ext uri="{FF2B5EF4-FFF2-40B4-BE49-F238E27FC236}">
              <a16:creationId xmlns:a16="http://schemas.microsoft.com/office/drawing/2014/main" id="{5AB13F1C-88CE-458B-A76E-627D2B607970}"/>
            </a:ext>
          </a:extLst>
        </xdr:cNvPr>
        <xdr:cNvCxnSpPr/>
      </xdr:nvCxnSpPr>
      <xdr:spPr>
        <a:xfrm flipV="1">
          <a:off x="3322448" y="1106294"/>
          <a:ext cx="783588" cy="3510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179905</xdr:colOff>
      <xdr:row>6</xdr:row>
      <xdr:rowOff>151757</xdr:rowOff>
    </xdr:from>
    <xdr:to>
      <xdr:col>10</xdr:col>
      <xdr:colOff>427555</xdr:colOff>
      <xdr:row>7</xdr:row>
      <xdr:rowOff>27933</xdr:rowOff>
    </xdr:to>
    <xdr:sp macro="" textlink="">
      <xdr:nvSpPr>
        <xdr:cNvPr id="156" name="Rectangle 20">
          <a:extLst>
            <a:ext uri="{FF2B5EF4-FFF2-40B4-BE49-F238E27FC236}">
              <a16:creationId xmlns:a16="http://schemas.microsoft.com/office/drawing/2014/main" id="{6DA50F27-B5B8-4034-A74E-DE74AD7225E1}"/>
            </a:ext>
          </a:extLst>
        </xdr:cNvPr>
        <xdr:cNvSpPr>
          <a:spLocks noChangeArrowheads="1"/>
        </xdr:cNvSpPr>
      </xdr:nvSpPr>
      <xdr:spPr bwMode="auto">
        <a:xfrm>
          <a:off x="5856805" y="1123307"/>
          <a:ext cx="247650" cy="3810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218005</xdr:colOff>
      <xdr:row>6</xdr:row>
      <xdr:rowOff>56507</xdr:rowOff>
    </xdr:from>
    <xdr:to>
      <xdr:col>10</xdr:col>
      <xdr:colOff>389455</xdr:colOff>
      <xdr:row>6</xdr:row>
      <xdr:rowOff>151757</xdr:rowOff>
    </xdr:to>
    <xdr:sp macro="" textlink="">
      <xdr:nvSpPr>
        <xdr:cNvPr id="157" name="Rectangle 22">
          <a:extLst>
            <a:ext uri="{FF2B5EF4-FFF2-40B4-BE49-F238E27FC236}">
              <a16:creationId xmlns:a16="http://schemas.microsoft.com/office/drawing/2014/main" id="{7144464A-BE3B-4CE6-990D-24B24274898E}"/>
            </a:ext>
          </a:extLst>
        </xdr:cNvPr>
        <xdr:cNvSpPr>
          <a:spLocks noChangeArrowheads="1"/>
        </xdr:cNvSpPr>
      </xdr:nvSpPr>
      <xdr:spPr bwMode="auto">
        <a:xfrm>
          <a:off x="5894905" y="1028057"/>
          <a:ext cx="1714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275154</xdr:colOff>
      <xdr:row>6</xdr:row>
      <xdr:rowOff>56507</xdr:rowOff>
    </xdr:from>
    <xdr:to>
      <xdr:col>10</xdr:col>
      <xdr:colOff>332304</xdr:colOff>
      <xdr:row>6</xdr:row>
      <xdr:rowOff>151757</xdr:rowOff>
    </xdr:to>
    <xdr:sp macro="" textlink="">
      <xdr:nvSpPr>
        <xdr:cNvPr id="249" name="Rectangle 26">
          <a:extLst>
            <a:ext uri="{FF2B5EF4-FFF2-40B4-BE49-F238E27FC236}">
              <a16:creationId xmlns:a16="http://schemas.microsoft.com/office/drawing/2014/main" id="{77F63F49-2F5A-47A7-BD5E-D0789E77C66C}"/>
            </a:ext>
          </a:extLst>
        </xdr:cNvPr>
        <xdr:cNvSpPr>
          <a:spLocks noChangeArrowheads="1"/>
        </xdr:cNvSpPr>
      </xdr:nvSpPr>
      <xdr:spPr bwMode="auto">
        <a:xfrm>
          <a:off x="5952054" y="1028057"/>
          <a:ext cx="57150" cy="95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246579</xdr:colOff>
      <xdr:row>5</xdr:row>
      <xdr:rowOff>151757</xdr:rowOff>
    </xdr:from>
    <xdr:to>
      <xdr:col>10</xdr:col>
      <xdr:colOff>360879</xdr:colOff>
      <xdr:row>6</xdr:row>
      <xdr:rowOff>56507</xdr:rowOff>
    </xdr:to>
    <xdr:sp macro="" textlink="">
      <xdr:nvSpPr>
        <xdr:cNvPr id="250" name="Rectangle 25" descr="Narrow horizontal">
          <a:extLst>
            <a:ext uri="{FF2B5EF4-FFF2-40B4-BE49-F238E27FC236}">
              <a16:creationId xmlns:a16="http://schemas.microsoft.com/office/drawing/2014/main" id="{FCD6B4E5-3454-4E66-BA8D-499321499D1D}"/>
            </a:ext>
          </a:extLst>
        </xdr:cNvPr>
        <xdr:cNvSpPr>
          <a:spLocks noChangeArrowheads="1"/>
        </xdr:cNvSpPr>
      </xdr:nvSpPr>
      <xdr:spPr bwMode="auto">
        <a:xfrm>
          <a:off x="5923479" y="961382"/>
          <a:ext cx="114300" cy="66675"/>
        </a:xfrm>
        <a:prstGeom prst="rect">
          <a:avLst/>
        </a:prstGeom>
        <a:pattFill prst="narHorz">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243337</xdr:colOff>
      <xdr:row>8</xdr:row>
      <xdr:rowOff>93239</xdr:rowOff>
    </xdr:from>
    <xdr:to>
      <xdr:col>11</xdr:col>
      <xdr:colOff>446077</xdr:colOff>
      <xdr:row>11</xdr:row>
      <xdr:rowOff>2093</xdr:rowOff>
    </xdr:to>
    <xdr:cxnSp macro="">
      <xdr:nvCxnSpPr>
        <xdr:cNvPr id="251" name="Straight Connector 250">
          <a:extLst>
            <a:ext uri="{FF2B5EF4-FFF2-40B4-BE49-F238E27FC236}">
              <a16:creationId xmlns:a16="http://schemas.microsoft.com/office/drawing/2014/main" id="{9BF8EC0E-D595-4B11-981C-4A19C509A3EE}"/>
            </a:ext>
          </a:extLst>
        </xdr:cNvPr>
        <xdr:cNvCxnSpPr>
          <a:endCxn id="252" idx="2"/>
        </xdr:cNvCxnSpPr>
      </xdr:nvCxnSpPr>
      <xdr:spPr>
        <a:xfrm flipV="1">
          <a:off x="5920237" y="1388639"/>
          <a:ext cx="850440" cy="3946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115602</xdr:colOff>
      <xdr:row>7</xdr:row>
      <xdr:rowOff>99452</xdr:rowOff>
    </xdr:from>
    <xdr:to>
      <xdr:col>11</xdr:col>
      <xdr:colOff>446077</xdr:colOff>
      <xdr:row>11</xdr:row>
      <xdr:rowOff>2130</xdr:rowOff>
    </xdr:to>
    <xdr:sp macro="" textlink="">
      <xdr:nvSpPr>
        <xdr:cNvPr id="252" name="Rectangle 53" descr="Small confetti">
          <a:extLst>
            <a:ext uri="{FF2B5EF4-FFF2-40B4-BE49-F238E27FC236}">
              <a16:creationId xmlns:a16="http://schemas.microsoft.com/office/drawing/2014/main" id="{D6FBDAB6-6195-4E39-A182-D93B2F21A9D9}"/>
            </a:ext>
          </a:extLst>
        </xdr:cNvPr>
        <xdr:cNvSpPr>
          <a:spLocks noChangeArrowheads="1"/>
        </xdr:cNvSpPr>
      </xdr:nvSpPr>
      <xdr:spPr bwMode="auto">
        <a:xfrm>
          <a:off x="5792502" y="1232927"/>
          <a:ext cx="978175" cy="550378"/>
        </a:xfrm>
        <a:custGeom>
          <a:avLst/>
          <a:gdLst>
            <a:gd name="csX0" fmla="*/ 0 w 968237"/>
            <a:gd name="csY0" fmla="*/ 0 h 142875"/>
            <a:gd name="csX1" fmla="*/ 968237 w 968237"/>
            <a:gd name="csY1" fmla="*/ 0 h 142875"/>
            <a:gd name="csX2" fmla="*/ 968237 w 968237"/>
            <a:gd name="csY2" fmla="*/ 142875 h 142875"/>
            <a:gd name="csX3" fmla="*/ 0 w 968237"/>
            <a:gd name="csY3" fmla="*/ 142875 h 142875"/>
            <a:gd name="csX4" fmla="*/ 0 w 968237"/>
            <a:gd name="csY4" fmla="*/ 0 h 142875"/>
            <a:gd name="csX0" fmla="*/ 0 w 1589432"/>
            <a:gd name="csY0" fmla="*/ 0 h 275397"/>
            <a:gd name="csX1" fmla="*/ 1589432 w 1589432"/>
            <a:gd name="csY1" fmla="*/ 132522 h 275397"/>
            <a:gd name="csX2" fmla="*/ 1589432 w 1589432"/>
            <a:gd name="csY2" fmla="*/ 275397 h 275397"/>
            <a:gd name="csX3" fmla="*/ 621195 w 1589432"/>
            <a:gd name="csY3" fmla="*/ 275397 h 275397"/>
            <a:gd name="csX4" fmla="*/ 0 w 1589432"/>
            <a:gd name="csY4" fmla="*/ 0 h 275397"/>
            <a:gd name="csX0" fmla="*/ 0 w 1589432"/>
            <a:gd name="csY0" fmla="*/ 0 h 275397"/>
            <a:gd name="csX1" fmla="*/ 1589432 w 1589432"/>
            <a:gd name="csY1" fmla="*/ 132522 h 275397"/>
            <a:gd name="csX2" fmla="*/ 1589432 w 1589432"/>
            <a:gd name="csY2" fmla="*/ 275397 h 275397"/>
            <a:gd name="csX3" fmla="*/ 115956 w 1589432"/>
            <a:gd name="csY3" fmla="*/ 176005 h 275397"/>
            <a:gd name="csX4" fmla="*/ 0 w 1589432"/>
            <a:gd name="csY4" fmla="*/ 0 h 275397"/>
            <a:gd name="csX0" fmla="*/ 0 w 1589432"/>
            <a:gd name="csY0" fmla="*/ 414130 h 689527"/>
            <a:gd name="csX1" fmla="*/ 860562 w 1589432"/>
            <a:gd name="csY1" fmla="*/ 0 h 689527"/>
            <a:gd name="csX2" fmla="*/ 1589432 w 1589432"/>
            <a:gd name="csY2" fmla="*/ 689527 h 689527"/>
            <a:gd name="csX3" fmla="*/ 115956 w 1589432"/>
            <a:gd name="csY3" fmla="*/ 590135 h 689527"/>
            <a:gd name="csX4" fmla="*/ 0 w 1589432"/>
            <a:gd name="csY4" fmla="*/ 414130 h 689527"/>
            <a:gd name="csX0" fmla="*/ 0 w 976519"/>
            <a:gd name="csY0" fmla="*/ 414130 h 590135"/>
            <a:gd name="csX1" fmla="*/ 860562 w 976519"/>
            <a:gd name="csY1" fmla="*/ 0 h 590135"/>
            <a:gd name="csX2" fmla="*/ 976519 w 976519"/>
            <a:gd name="csY2" fmla="*/ 126310 h 590135"/>
            <a:gd name="csX3" fmla="*/ 115956 w 976519"/>
            <a:gd name="csY3" fmla="*/ 590135 h 590135"/>
            <a:gd name="csX4" fmla="*/ 0 w 976519"/>
            <a:gd name="csY4" fmla="*/ 414130 h 590135"/>
            <a:gd name="csX0" fmla="*/ 0 w 1001367"/>
            <a:gd name="csY0" fmla="*/ 414130 h 590135"/>
            <a:gd name="csX1" fmla="*/ 860562 w 1001367"/>
            <a:gd name="csY1" fmla="*/ 0 h 590135"/>
            <a:gd name="csX2" fmla="*/ 1001367 w 1001367"/>
            <a:gd name="csY2" fmla="*/ 184288 h 590135"/>
            <a:gd name="csX3" fmla="*/ 115956 w 1001367"/>
            <a:gd name="csY3" fmla="*/ 590135 h 590135"/>
            <a:gd name="csX4" fmla="*/ 0 w 1001367"/>
            <a:gd name="csY4" fmla="*/ 414130 h 590135"/>
            <a:gd name="csX0" fmla="*/ 0 w 976519"/>
            <a:gd name="csY0" fmla="*/ 414130 h 590135"/>
            <a:gd name="csX1" fmla="*/ 860562 w 976519"/>
            <a:gd name="csY1" fmla="*/ 0 h 590135"/>
            <a:gd name="csX2" fmla="*/ 976519 w 976519"/>
            <a:gd name="csY2" fmla="*/ 159440 h 590135"/>
            <a:gd name="csX3" fmla="*/ 115956 w 976519"/>
            <a:gd name="csY3" fmla="*/ 590135 h 590135"/>
            <a:gd name="csX4" fmla="*/ 0 w 976519"/>
            <a:gd name="csY4" fmla="*/ 414130 h 590135"/>
            <a:gd name="csX0" fmla="*/ 0 w 976519"/>
            <a:gd name="csY0" fmla="*/ 414130 h 565287"/>
            <a:gd name="csX1" fmla="*/ 860562 w 976519"/>
            <a:gd name="csY1" fmla="*/ 0 h 565287"/>
            <a:gd name="csX2" fmla="*/ 976519 w 976519"/>
            <a:gd name="csY2" fmla="*/ 159440 h 565287"/>
            <a:gd name="csX3" fmla="*/ 115956 w 976519"/>
            <a:gd name="csY3" fmla="*/ 565287 h 565287"/>
            <a:gd name="csX4" fmla="*/ 0 w 976519"/>
            <a:gd name="csY4" fmla="*/ 414130 h 565287"/>
          </a:gdLst>
          <a:ahLst/>
          <a:cxnLst>
            <a:cxn ang="0">
              <a:pos x="csX0" y="csY0"/>
            </a:cxn>
            <a:cxn ang="0">
              <a:pos x="csX1" y="csY1"/>
            </a:cxn>
            <a:cxn ang="0">
              <a:pos x="csX2" y="csY2"/>
            </a:cxn>
            <a:cxn ang="0">
              <a:pos x="csX3" y="csY3"/>
            </a:cxn>
            <a:cxn ang="0">
              <a:pos x="csX4" y="csY4"/>
            </a:cxn>
          </a:cxnLst>
          <a:rect l="l" t="t" r="r" b="b"/>
          <a:pathLst>
            <a:path w="976519" h="565287">
              <a:moveTo>
                <a:pt x="0" y="414130"/>
              </a:moveTo>
              <a:lnTo>
                <a:pt x="860562" y="0"/>
              </a:lnTo>
              <a:lnTo>
                <a:pt x="976519" y="159440"/>
              </a:lnTo>
              <a:lnTo>
                <a:pt x="115956" y="565287"/>
              </a:lnTo>
              <a:lnTo>
                <a:pt x="0" y="414130"/>
              </a:lnTo>
              <a:close/>
            </a:path>
          </a:pathLst>
        </a:custGeom>
        <a:blipFill dpi="0" rotWithShape="0">
          <a:blip xmlns:r="http://schemas.openxmlformats.org/officeDocument/2006/relationships" r:embed="rId2"/>
          <a:srcRect/>
          <a:tile tx="0" ty="0" sx="100000" sy="100000" flip="none" algn="tl"/>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325575</xdr:colOff>
      <xdr:row>7</xdr:row>
      <xdr:rowOff>92415</xdr:rowOff>
    </xdr:from>
    <xdr:to>
      <xdr:col>11</xdr:col>
      <xdr:colOff>446077</xdr:colOff>
      <xdr:row>8</xdr:row>
      <xdr:rowOff>92937</xdr:rowOff>
    </xdr:to>
    <xdr:cxnSp macro="">
      <xdr:nvCxnSpPr>
        <xdr:cNvPr id="253" name="Straight Connector 252">
          <a:extLst>
            <a:ext uri="{FF2B5EF4-FFF2-40B4-BE49-F238E27FC236}">
              <a16:creationId xmlns:a16="http://schemas.microsoft.com/office/drawing/2014/main" id="{C8F71D40-D809-4579-BBEA-B7B66C603E5C}"/>
            </a:ext>
          </a:extLst>
        </xdr:cNvPr>
        <xdr:cNvCxnSpPr>
          <a:endCxn id="252" idx="2"/>
        </xdr:cNvCxnSpPr>
      </xdr:nvCxnSpPr>
      <xdr:spPr>
        <a:xfrm>
          <a:off x="6650175" y="1225890"/>
          <a:ext cx="120502" cy="1624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348615</xdr:colOff>
      <xdr:row>17</xdr:row>
      <xdr:rowOff>70485</xdr:rowOff>
    </xdr:from>
    <xdr:to>
      <xdr:col>10</xdr:col>
      <xdr:colOff>611321</xdr:colOff>
      <xdr:row>31</xdr:row>
      <xdr:rowOff>114300</xdr:rowOff>
    </xdr:to>
    <xdr:grpSp>
      <xdr:nvGrpSpPr>
        <xdr:cNvPr id="254" name="Group 253">
          <a:extLst>
            <a:ext uri="{FF2B5EF4-FFF2-40B4-BE49-F238E27FC236}">
              <a16:creationId xmlns:a16="http://schemas.microsoft.com/office/drawing/2014/main" id="{A6C8DFCA-3E9E-4562-8212-AE896262F2D4}"/>
            </a:ext>
          </a:extLst>
        </xdr:cNvPr>
        <xdr:cNvGrpSpPr/>
      </xdr:nvGrpSpPr>
      <xdr:grpSpPr>
        <a:xfrm>
          <a:off x="3434715" y="2823210"/>
          <a:ext cx="2853506" cy="2310765"/>
          <a:chOff x="3442335" y="2790825"/>
          <a:chExt cx="2853506" cy="2284095"/>
        </a:xfrm>
      </xdr:grpSpPr>
      <xdr:grpSp>
        <xdr:nvGrpSpPr>
          <xdr:cNvPr id="255" name="Group 254">
            <a:extLst>
              <a:ext uri="{FF2B5EF4-FFF2-40B4-BE49-F238E27FC236}">
                <a16:creationId xmlns:a16="http://schemas.microsoft.com/office/drawing/2014/main" id="{CD7FDFA4-457A-5368-F7A9-6655161D96B3}"/>
              </a:ext>
            </a:extLst>
          </xdr:cNvPr>
          <xdr:cNvGrpSpPr/>
        </xdr:nvGrpSpPr>
        <xdr:grpSpPr>
          <a:xfrm>
            <a:off x="3440430" y="2792730"/>
            <a:ext cx="2855411" cy="2278702"/>
            <a:chOff x="3444240" y="2788920"/>
            <a:chExt cx="2851601" cy="2280607"/>
          </a:xfrm>
        </xdr:grpSpPr>
        <xdr:pic>
          <xdr:nvPicPr>
            <xdr:cNvPr id="257" name="Picture 256">
              <a:extLst>
                <a:ext uri="{FF2B5EF4-FFF2-40B4-BE49-F238E27FC236}">
                  <a16:creationId xmlns:a16="http://schemas.microsoft.com/office/drawing/2014/main" id="{3852C9F5-A282-1E1C-1C6B-3785E441D00F}"/>
                </a:ext>
              </a:extLst>
            </xdr:cNvPr>
            <xdr:cNvPicPr>
              <a:picLocks noChangeAspect="1"/>
            </xdr:cNvPicPr>
          </xdr:nvPicPr>
          <xdr:blipFill>
            <a:blip xmlns:r="http://schemas.openxmlformats.org/officeDocument/2006/relationships" r:embed="rId3"/>
            <a:stretch>
              <a:fillRect/>
            </a:stretch>
          </xdr:blipFill>
          <xdr:spPr>
            <a:xfrm>
              <a:off x="3444240" y="2788920"/>
              <a:ext cx="2851601" cy="2280607"/>
            </a:xfrm>
            <a:prstGeom prst="rect">
              <a:avLst/>
            </a:prstGeom>
          </xdr:spPr>
        </xdr:pic>
        <xdr:sp macro="" textlink="">
          <xdr:nvSpPr>
            <xdr:cNvPr id="258" name="TextBox 257">
              <a:extLst>
                <a:ext uri="{FF2B5EF4-FFF2-40B4-BE49-F238E27FC236}">
                  <a16:creationId xmlns:a16="http://schemas.microsoft.com/office/drawing/2014/main" id="{7790E47D-FE36-DCCA-9982-781125DCD7AC}"/>
                </a:ext>
              </a:extLst>
            </xdr:cNvPr>
            <xdr:cNvSpPr txBox="1"/>
          </xdr:nvSpPr>
          <xdr:spPr>
            <a:xfrm>
              <a:off x="3874770" y="3867150"/>
              <a:ext cx="36576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a:t>
              </a:r>
              <a:r>
                <a:rPr lang="en-US" sz="1000" baseline="-25000">
                  <a:latin typeface="Arial" panose="020B0604020202020204" pitchFamily="34" charset="0"/>
                  <a:cs typeface="Arial" panose="020B0604020202020204" pitchFamily="34" charset="0"/>
                </a:rPr>
                <a:t>sl</a:t>
              </a:r>
            </a:p>
          </xdr:txBody>
        </xdr:sp>
      </xdr:grpSp>
      <xdr:sp macro="" textlink="">
        <xdr:nvSpPr>
          <xdr:cNvPr id="256" name="TextBox 255">
            <a:extLst>
              <a:ext uri="{FF2B5EF4-FFF2-40B4-BE49-F238E27FC236}">
                <a16:creationId xmlns:a16="http://schemas.microsoft.com/office/drawing/2014/main" id="{70A09983-A81C-C5AE-A128-C21BA022948A}"/>
              </a:ext>
            </a:extLst>
          </xdr:cNvPr>
          <xdr:cNvSpPr txBox="1"/>
        </xdr:nvSpPr>
        <xdr:spPr>
          <a:xfrm>
            <a:off x="4800600" y="4834890"/>
            <a:ext cx="1344930"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baseline="-25000">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B233"/>
  <sheetViews>
    <sheetView showGridLines="0" tabSelected="1" zoomScaleNormal="100" workbookViewId="0">
      <selection activeCell="E4" sqref="E4"/>
    </sheetView>
  </sheetViews>
  <sheetFormatPr defaultColWidth="9.7109375" defaultRowHeight="12.75" customHeight="1"/>
  <cols>
    <col min="1" max="2" width="3.7109375" style="4" customWidth="1"/>
    <col min="3" max="3" width="9.7109375" style="4" customWidth="1"/>
    <col min="4" max="11" width="9.7109375" style="4"/>
    <col min="12" max="12" width="9.7109375" style="1" customWidth="1"/>
    <col min="13" max="14" width="3.7109375" style="1" customWidth="1"/>
    <col min="15" max="15" width="9.7109375" style="1" customWidth="1"/>
    <col min="16" max="16" width="9.7109375" style="12" customWidth="1"/>
    <col min="17" max="28" width="9.7109375" style="1" customWidth="1"/>
    <col min="29" max="32" width="9.7109375" style="4"/>
    <col min="33" max="54" width="9.7109375" style="5"/>
    <col min="55" max="16384" width="9.7109375" style="4"/>
  </cols>
  <sheetData>
    <row r="1" spans="2:54" ht="12.75" customHeight="1">
      <c r="C1" s="106" t="s">
        <v>96</v>
      </c>
      <c r="D1" s="38"/>
      <c r="E1" s="39"/>
      <c r="F1" s="39"/>
      <c r="G1" s="39"/>
      <c r="H1" s="39"/>
      <c r="I1" s="38"/>
      <c r="J1" s="38"/>
      <c r="K1" s="38"/>
      <c r="M1" s="2"/>
      <c r="X1" s="5"/>
      <c r="Y1" s="5"/>
      <c r="Z1" s="5"/>
      <c r="AA1" s="5"/>
      <c r="AB1" s="5"/>
      <c r="AH1" s="4"/>
      <c r="AI1" s="4"/>
      <c r="AJ1" s="4"/>
      <c r="AK1" s="1"/>
      <c r="AL1" s="1"/>
      <c r="AT1" s="4"/>
      <c r="AU1" s="4"/>
      <c r="AV1" s="4"/>
      <c r="AW1" s="4"/>
      <c r="AX1" s="4"/>
      <c r="AY1" s="4"/>
      <c r="AZ1" s="4"/>
      <c r="BA1" s="4"/>
      <c r="BB1" s="4"/>
    </row>
    <row r="2" spans="2:54" ht="12.75" customHeight="1">
      <c r="B2" s="51"/>
      <c r="C2" s="107"/>
      <c r="D2" s="52"/>
      <c r="E2" s="52"/>
      <c r="F2" s="73"/>
      <c r="G2" s="73"/>
      <c r="H2" s="73"/>
      <c r="I2" s="73"/>
      <c r="J2" s="73"/>
      <c r="K2" s="73"/>
      <c r="L2" s="73"/>
      <c r="M2" s="74"/>
      <c r="P2" s="57" t="s">
        <v>88</v>
      </c>
      <c r="Q2" s="132"/>
      <c r="R2" s="132"/>
      <c r="X2" s="5"/>
      <c r="Y2" s="5"/>
      <c r="Z2" s="5"/>
      <c r="AA2" s="5"/>
      <c r="AB2" s="5"/>
      <c r="AH2" s="4"/>
      <c r="AI2" s="4"/>
      <c r="AJ2" s="4"/>
      <c r="AK2" s="1"/>
      <c r="AL2" s="1"/>
      <c r="AT2" s="4"/>
      <c r="AU2" s="4"/>
      <c r="AV2" s="4"/>
      <c r="AW2" s="4"/>
      <c r="AX2" s="4"/>
      <c r="AY2" s="4"/>
      <c r="AZ2" s="4"/>
      <c r="BA2" s="4"/>
      <c r="BB2" s="4"/>
    </row>
    <row r="3" spans="2:54" ht="12.75" customHeight="1" thickBot="1">
      <c r="B3" s="54"/>
      <c r="C3" s="113" t="s">
        <v>75</v>
      </c>
      <c r="D3" s="133"/>
      <c r="E3" s="114"/>
      <c r="F3" s="76"/>
      <c r="H3" s="36"/>
      <c r="I3" s="78"/>
      <c r="J3" s="36"/>
      <c r="K3" s="28"/>
      <c r="M3" s="40"/>
      <c r="P3" s="134" t="s">
        <v>6</v>
      </c>
      <c r="Q3" s="135" t="s">
        <v>27</v>
      </c>
      <c r="AH3" s="4"/>
      <c r="AI3" s="4"/>
      <c r="AJ3" s="4"/>
      <c r="AK3" s="1"/>
      <c r="AL3" s="1"/>
      <c r="AM3" s="1"/>
      <c r="AQ3" s="1"/>
      <c r="AR3" s="1"/>
      <c r="AS3" s="1"/>
      <c r="AT3" s="4"/>
      <c r="AU3" s="4"/>
      <c r="AV3" s="4"/>
      <c r="AW3" s="4"/>
      <c r="AX3" s="4"/>
      <c r="AY3" s="4"/>
      <c r="AZ3" s="4"/>
      <c r="BA3" s="4"/>
      <c r="BB3" s="4"/>
    </row>
    <row r="4" spans="2:54" ht="12.75" customHeight="1">
      <c r="B4" s="54"/>
      <c r="C4" s="116"/>
      <c r="D4" s="136" t="s">
        <v>76</v>
      </c>
      <c r="E4" s="44">
        <v>2400</v>
      </c>
      <c r="F4" s="23" t="s">
        <v>4</v>
      </c>
      <c r="H4" s="79"/>
      <c r="I4" s="80" t="str">
        <f>"   Pu"</f>
        <v xml:space="preserve">   Pu</v>
      </c>
      <c r="J4" s="36"/>
      <c r="K4" s="28"/>
      <c r="M4" s="40"/>
      <c r="P4" s="137" t="s">
        <v>7</v>
      </c>
      <c r="Q4" s="138" t="s">
        <v>8</v>
      </c>
      <c r="AC4" s="8"/>
      <c r="AG4" s="4"/>
      <c r="AH4" s="4"/>
      <c r="AI4" s="4"/>
      <c r="AJ4" s="4"/>
      <c r="AK4" s="1"/>
      <c r="AL4" s="1"/>
      <c r="AM4" s="1"/>
      <c r="AR4" s="1"/>
      <c r="AS4" s="1"/>
      <c r="AT4" s="4"/>
      <c r="AU4" s="4"/>
      <c r="AV4" s="4"/>
      <c r="AW4" s="4"/>
      <c r="AX4" s="4"/>
      <c r="AY4" s="4"/>
      <c r="AZ4" s="4"/>
      <c r="BA4" s="4"/>
      <c r="BB4" s="4"/>
    </row>
    <row r="5" spans="2:54" ht="12.75" customHeight="1">
      <c r="B5" s="54"/>
      <c r="C5" s="117"/>
      <c r="D5" s="139"/>
      <c r="E5" s="140"/>
      <c r="F5" s="1"/>
      <c r="G5" s="1"/>
      <c r="H5" s="36"/>
      <c r="I5" s="78"/>
      <c r="J5" s="31"/>
      <c r="K5" s="29"/>
      <c r="M5" s="40"/>
      <c r="P5" s="137" t="s">
        <v>27</v>
      </c>
      <c r="Q5" s="138" t="s">
        <v>9</v>
      </c>
      <c r="AC5" s="9"/>
      <c r="AD5" s="10"/>
      <c r="AG5" s="11"/>
      <c r="AH5" s="4"/>
      <c r="AI5" s="4"/>
      <c r="AJ5" s="4"/>
      <c r="AM5" s="1"/>
      <c r="AN5" s="1"/>
      <c r="AR5" s="1"/>
      <c r="AS5" s="1"/>
      <c r="AT5" s="4"/>
      <c r="AU5" s="4"/>
      <c r="AV5" s="4"/>
      <c r="AW5" s="4"/>
      <c r="AX5" s="4"/>
      <c r="AY5" s="4"/>
      <c r="AZ5" s="4"/>
      <c r="BA5" s="4"/>
      <c r="BB5" s="4"/>
    </row>
    <row r="6" spans="2:54" ht="12.75" customHeight="1" thickBot="1">
      <c r="B6" s="54"/>
      <c r="C6" s="141" t="s">
        <v>67</v>
      </c>
      <c r="D6" s="118"/>
      <c r="E6" s="142"/>
      <c r="G6" s="1"/>
      <c r="H6" s="36"/>
      <c r="I6" s="81"/>
      <c r="J6" s="30" t="s">
        <v>31</v>
      </c>
      <c r="K6" s="28"/>
      <c r="M6" s="40"/>
      <c r="P6" s="137" t="s">
        <v>0</v>
      </c>
      <c r="Q6" s="138" t="s">
        <v>2</v>
      </c>
      <c r="R6" s="5"/>
      <c r="AC6" s="8"/>
      <c r="AD6" s="10"/>
      <c r="AG6" s="11"/>
      <c r="AH6" s="4"/>
      <c r="AI6" s="4"/>
      <c r="AJ6" s="4"/>
      <c r="AK6" s="1"/>
      <c r="AL6" s="1"/>
      <c r="AM6" s="1"/>
      <c r="AN6" s="1"/>
      <c r="AR6" s="1"/>
      <c r="AS6" s="1"/>
      <c r="AT6" s="4"/>
      <c r="AU6" s="4"/>
      <c r="AV6" s="4"/>
      <c r="AW6" s="4"/>
      <c r="AX6" s="4"/>
      <c r="AY6" s="4"/>
      <c r="AZ6" s="4"/>
      <c r="BA6" s="4"/>
      <c r="BB6" s="4"/>
    </row>
    <row r="7" spans="2:54" ht="12.75" customHeight="1">
      <c r="B7" s="54"/>
      <c r="C7" s="120"/>
      <c r="D7" s="121" t="s">
        <v>68</v>
      </c>
      <c r="E7" s="44">
        <v>-1000</v>
      </c>
      <c r="F7" s="33" t="s">
        <v>3</v>
      </c>
      <c r="G7" s="1"/>
      <c r="H7" s="36"/>
      <c r="I7" s="78"/>
      <c r="J7" s="82"/>
      <c r="K7" s="28"/>
      <c r="L7" s="83" t="str">
        <f>"  tₚ="&amp;ROUND($E$27,3)</f>
        <v xml:space="preserve">  tₚ=50</v>
      </c>
      <c r="M7" s="40"/>
      <c r="P7" s="143" t="s">
        <v>4</v>
      </c>
      <c r="Q7" s="144" t="s">
        <v>10</v>
      </c>
      <c r="R7" s="5"/>
      <c r="AC7" s="9"/>
      <c r="AD7" s="10"/>
      <c r="AG7" s="11"/>
      <c r="AH7" s="4"/>
      <c r="AI7" s="4"/>
      <c r="AJ7" s="4"/>
      <c r="AK7" s="4"/>
      <c r="AL7" s="1"/>
      <c r="AM7" s="1"/>
      <c r="AN7" s="1"/>
      <c r="AO7" s="4"/>
      <c r="AP7" s="1"/>
      <c r="AQ7" s="1"/>
      <c r="AR7" s="1"/>
      <c r="AS7" s="1"/>
      <c r="AT7" s="4"/>
      <c r="AU7" s="4"/>
      <c r="AV7" s="4"/>
      <c r="AW7" s="4"/>
      <c r="AX7" s="4"/>
      <c r="AY7" s="4"/>
      <c r="AZ7" s="4"/>
      <c r="BA7" s="4"/>
      <c r="BB7" s="4"/>
    </row>
    <row r="8" spans="2:54" ht="12.75" customHeight="1">
      <c r="B8" s="54"/>
      <c r="C8" s="115"/>
      <c r="D8" s="121" t="s">
        <v>69</v>
      </c>
      <c r="E8" s="45">
        <v>300</v>
      </c>
      <c r="F8" s="33" t="s">
        <v>3</v>
      </c>
      <c r="G8" s="1"/>
      <c r="H8" s="36"/>
      <c r="I8" s="78"/>
      <c r="J8" s="31"/>
      <c r="K8" s="28"/>
      <c r="L8" s="83"/>
      <c r="M8" s="40"/>
      <c r="P8" s="58">
        <v>6</v>
      </c>
      <c r="Q8" s="59">
        <v>32</v>
      </c>
      <c r="R8" s="5"/>
      <c r="AC8" s="8"/>
      <c r="AD8" s="10"/>
      <c r="AG8" s="11"/>
      <c r="AH8" s="4"/>
      <c r="AI8" s="4"/>
      <c r="AJ8" s="4"/>
      <c r="AK8" s="7"/>
      <c r="AL8" s="4"/>
      <c r="AM8" s="1"/>
      <c r="AN8" s="1"/>
      <c r="AO8" s="4"/>
      <c r="AP8" s="1"/>
      <c r="AQ8" s="1"/>
      <c r="AR8" s="1"/>
      <c r="AS8" s="1"/>
      <c r="AT8" s="4"/>
      <c r="AU8" s="4"/>
      <c r="AV8" s="4"/>
      <c r="AW8" s="4"/>
      <c r="AX8" s="4"/>
      <c r="AY8" s="4"/>
      <c r="AZ8" s="4"/>
      <c r="BA8" s="4"/>
      <c r="BB8" s="4"/>
    </row>
    <row r="9" spans="2:54" ht="12.75" customHeight="1">
      <c r="B9" s="54"/>
      <c r="C9" s="118"/>
      <c r="D9" s="119" t="s">
        <v>86</v>
      </c>
      <c r="E9" s="45" t="s">
        <v>12</v>
      </c>
      <c r="F9" s="1"/>
      <c r="G9" s="1"/>
      <c r="H9" s="31"/>
      <c r="I9" s="78"/>
      <c r="J9" s="31"/>
      <c r="K9" s="28"/>
      <c r="M9" s="41"/>
      <c r="P9" s="58">
        <v>10</v>
      </c>
      <c r="Q9" s="59">
        <v>71</v>
      </c>
      <c r="R9" s="5"/>
      <c r="AC9" s="9"/>
      <c r="AD9" s="10"/>
      <c r="AG9" s="11"/>
      <c r="AH9" s="4"/>
      <c r="AI9" s="4"/>
      <c r="AJ9" s="4"/>
      <c r="AK9" s="3"/>
      <c r="AL9" s="1"/>
      <c r="AM9" s="1"/>
      <c r="AN9" s="1"/>
      <c r="AO9" s="4"/>
      <c r="AP9" s="1"/>
      <c r="AQ9" s="1"/>
      <c r="AR9" s="1"/>
      <c r="AS9" s="1"/>
      <c r="AT9" s="4"/>
      <c r="AU9" s="4"/>
      <c r="AV9" s="4"/>
      <c r="AW9" s="4"/>
      <c r="AX9" s="4"/>
      <c r="AY9" s="4"/>
      <c r="AZ9" s="4"/>
      <c r="BA9" s="4"/>
      <c r="BB9" s="4"/>
    </row>
    <row r="10" spans="2:54" ht="12.75" customHeight="1">
      <c r="B10" s="54"/>
      <c r="C10" s="118"/>
      <c r="D10" s="118"/>
      <c r="E10" s="118"/>
      <c r="F10" s="85" t="s">
        <v>65</v>
      </c>
      <c r="G10" s="31"/>
      <c r="H10" s="84"/>
      <c r="I10" s="78"/>
      <c r="J10" s="31"/>
      <c r="M10" s="41"/>
      <c r="P10" s="60">
        <v>13</v>
      </c>
      <c r="Q10" s="61">
        <v>127</v>
      </c>
      <c r="R10" s="5"/>
      <c r="AC10" s="8"/>
      <c r="AD10" s="10"/>
      <c r="AG10" s="11"/>
      <c r="AH10" s="4"/>
      <c r="AI10" s="4"/>
      <c r="AJ10" s="4"/>
      <c r="AK10" s="7"/>
      <c r="AL10" s="12"/>
      <c r="AM10" s="6"/>
      <c r="AN10" s="1"/>
      <c r="AO10" s="4"/>
      <c r="AP10" s="1"/>
      <c r="AQ10" s="1"/>
      <c r="AR10" s="1"/>
      <c r="AS10" s="1"/>
      <c r="AT10" s="4"/>
      <c r="AU10" s="4"/>
      <c r="AV10" s="4"/>
      <c r="AW10" s="4"/>
      <c r="AX10" s="4"/>
      <c r="AY10" s="4"/>
      <c r="AZ10" s="4"/>
      <c r="BA10" s="4"/>
      <c r="BB10" s="4"/>
    </row>
    <row r="11" spans="2:54" ht="12.75" customHeight="1" thickBot="1">
      <c r="B11" s="54"/>
      <c r="C11" s="141" t="s">
        <v>70</v>
      </c>
      <c r="D11" s="118"/>
      <c r="E11" s="118"/>
      <c r="G11" s="31"/>
      <c r="H11" s="86"/>
      <c r="I11" s="31"/>
      <c r="J11" s="31"/>
      <c r="K11" s="30"/>
      <c r="M11" s="41"/>
      <c r="P11" s="60">
        <v>16</v>
      </c>
      <c r="Q11" s="61">
        <v>198</v>
      </c>
      <c r="AC11" s="9"/>
      <c r="AD11" s="10"/>
      <c r="AG11" s="11"/>
      <c r="AH11" s="4"/>
      <c r="AI11" s="4"/>
      <c r="AJ11" s="4"/>
      <c r="AT11" s="4"/>
      <c r="AU11" s="4"/>
      <c r="AV11" s="4"/>
      <c r="AW11" s="4"/>
      <c r="AX11" s="4"/>
      <c r="AY11" s="4"/>
      <c r="AZ11" s="4"/>
      <c r="BA11" s="4"/>
      <c r="BB11" s="4"/>
    </row>
    <row r="12" spans="2:54" ht="12.75" customHeight="1">
      <c r="B12" s="54"/>
      <c r="C12" s="123"/>
      <c r="D12" s="119" t="s">
        <v>39</v>
      </c>
      <c r="E12" s="104">
        <v>345</v>
      </c>
      <c r="F12" s="33" t="s">
        <v>11</v>
      </c>
      <c r="G12" s="79" t="s">
        <v>33</v>
      </c>
      <c r="H12" s="88"/>
      <c r="I12" s="31"/>
      <c r="J12" s="89" t="str">
        <f>"Hₛₗ="&amp;$E$29</f>
        <v>Hₛₗ=150</v>
      </c>
      <c r="K12" s="31"/>
      <c r="M12" s="41"/>
      <c r="P12" s="60">
        <v>19</v>
      </c>
      <c r="Q12" s="61">
        <v>285</v>
      </c>
      <c r="AC12" s="8"/>
      <c r="AD12" s="10"/>
      <c r="AG12" s="11"/>
      <c r="AH12" s="4"/>
      <c r="AI12" s="4"/>
      <c r="AJ12" s="4"/>
      <c r="AT12" s="4"/>
      <c r="AU12" s="4"/>
      <c r="AV12" s="4"/>
      <c r="AW12" s="4"/>
      <c r="AX12" s="4"/>
      <c r="AY12" s="4"/>
      <c r="AZ12" s="4"/>
      <c r="BA12" s="4"/>
      <c r="BB12" s="4"/>
    </row>
    <row r="13" spans="2:54" ht="12.75" customHeight="1">
      <c r="B13" s="54"/>
      <c r="C13" s="120"/>
      <c r="D13" s="124" t="s">
        <v>72</v>
      </c>
      <c r="E13" s="105">
        <v>28</v>
      </c>
      <c r="F13" s="33" t="s">
        <v>11</v>
      </c>
      <c r="G13" s="13" t="s">
        <v>34</v>
      </c>
      <c r="H13" s="31"/>
      <c r="I13" s="31"/>
      <c r="J13" s="31"/>
      <c r="K13" s="79" t="str">
        <f>"G="&amp;$E$28</f>
        <v>G=50</v>
      </c>
      <c r="M13" s="41"/>
      <c r="P13" s="60">
        <v>22</v>
      </c>
      <c r="Q13" s="61">
        <v>388</v>
      </c>
      <c r="R13" s="145"/>
      <c r="AC13" s="9"/>
      <c r="AD13" s="10"/>
      <c r="AG13" s="11"/>
      <c r="AH13" s="4"/>
      <c r="AI13" s="4"/>
      <c r="AJ13" s="4"/>
      <c r="AT13" s="4"/>
      <c r="AU13" s="4"/>
      <c r="AV13" s="4"/>
      <c r="AW13" s="4"/>
      <c r="AX13" s="4"/>
      <c r="AY13" s="4"/>
      <c r="AZ13" s="4"/>
      <c r="BA13" s="4"/>
      <c r="BB13" s="4"/>
    </row>
    <row r="14" spans="2:54" ht="12.75" customHeight="1">
      <c r="B14" s="54"/>
      <c r="C14" s="120"/>
      <c r="D14" s="119" t="s">
        <v>40</v>
      </c>
      <c r="E14" s="46">
        <v>0</v>
      </c>
      <c r="H14" s="31"/>
      <c r="I14" s="31"/>
      <c r="J14" s="83" t="s">
        <v>36</v>
      </c>
      <c r="K14" s="30"/>
      <c r="M14" s="41"/>
      <c r="P14" s="62">
        <v>25</v>
      </c>
      <c r="Q14" s="63">
        <v>507</v>
      </c>
      <c r="R14" s="145"/>
      <c r="AC14" s="5"/>
      <c r="AD14" s="10"/>
      <c r="AG14" s="11"/>
      <c r="AH14" s="4"/>
      <c r="AI14" s="4"/>
      <c r="AJ14" s="4"/>
      <c r="AT14" s="4"/>
      <c r="AU14" s="4"/>
      <c r="AV14" s="4"/>
      <c r="AW14" s="4"/>
      <c r="AX14" s="4"/>
      <c r="AY14" s="4"/>
      <c r="AZ14" s="4"/>
      <c r="BA14" s="4"/>
      <c r="BB14" s="4"/>
    </row>
    <row r="15" spans="2:54" ht="12.75" customHeight="1">
      <c r="B15" s="54"/>
      <c r="C15" s="120"/>
      <c r="D15" s="14" t="s">
        <v>71</v>
      </c>
      <c r="E15" s="46">
        <v>70</v>
      </c>
      <c r="F15" s="87" t="s">
        <v>66</v>
      </c>
      <c r="G15" s="31"/>
      <c r="H15" s="31"/>
      <c r="I15" s="30" t="str">
        <f>"            tₛₗ="&amp;ROUND($E$31,3)</f>
        <v xml:space="preserve">            tₛₗ=50</v>
      </c>
      <c r="J15" s="31"/>
      <c r="K15" s="31"/>
      <c r="M15" s="40"/>
      <c r="P15" s="15"/>
      <c r="Q15" s="24"/>
      <c r="R15" s="20"/>
      <c r="AC15" s="5"/>
      <c r="AD15" s="10"/>
      <c r="AG15" s="11"/>
      <c r="AH15" s="4"/>
      <c r="AI15" s="4"/>
      <c r="AJ15" s="4"/>
      <c r="AT15" s="4"/>
      <c r="AU15" s="4"/>
      <c r="AV15" s="4"/>
      <c r="AW15" s="4"/>
      <c r="AX15" s="4"/>
      <c r="AY15" s="4"/>
      <c r="AZ15" s="4"/>
      <c r="BA15" s="4"/>
      <c r="BB15" s="4"/>
    </row>
    <row r="16" spans="2:54" ht="12.75" customHeight="1">
      <c r="B16" s="54"/>
      <c r="C16" s="118"/>
      <c r="D16" s="125" t="s">
        <v>73</v>
      </c>
      <c r="E16" s="45" t="s">
        <v>14</v>
      </c>
      <c r="G16" s="31"/>
      <c r="H16" s="31"/>
      <c r="I16" s="31"/>
      <c r="J16" s="31"/>
      <c r="K16" s="31"/>
      <c r="M16" s="42"/>
      <c r="P16" s="57" t="s">
        <v>89</v>
      </c>
      <c r="Q16" s="132"/>
      <c r="R16" s="132"/>
      <c r="AC16" s="5"/>
      <c r="AD16" s="10"/>
      <c r="AG16" s="11"/>
      <c r="AH16" s="4"/>
      <c r="AI16" s="4"/>
      <c r="AJ16" s="4"/>
      <c r="AT16" s="4"/>
      <c r="AU16" s="4"/>
      <c r="AV16" s="4"/>
      <c r="AW16" s="4"/>
      <c r="AX16" s="4"/>
      <c r="AY16" s="4"/>
      <c r="AZ16" s="4"/>
      <c r="BA16" s="4"/>
      <c r="BB16" s="4"/>
    </row>
    <row r="17" spans="2:54" ht="12.75" customHeight="1">
      <c r="B17" s="54"/>
      <c r="C17" s="120"/>
      <c r="D17" s="119" t="s">
        <v>38</v>
      </c>
      <c r="E17" s="46">
        <v>10</v>
      </c>
      <c r="F17" s="91" t="s">
        <v>4</v>
      </c>
      <c r="H17" s="92" t="s">
        <v>37</v>
      </c>
      <c r="I17" s="8"/>
      <c r="J17" s="8"/>
      <c r="M17" s="42"/>
      <c r="P17" s="134" t="s">
        <v>6</v>
      </c>
      <c r="Q17" s="135" t="s">
        <v>1</v>
      </c>
      <c r="AC17" s="5"/>
      <c r="AD17" s="10"/>
      <c r="AG17" s="11"/>
      <c r="AH17" s="4"/>
      <c r="AI17" s="4"/>
      <c r="AJ17" s="4"/>
      <c r="AT17" s="4"/>
      <c r="AU17" s="4"/>
      <c r="AV17" s="4"/>
      <c r="AW17" s="4"/>
      <c r="AX17" s="4"/>
      <c r="AY17" s="4"/>
      <c r="AZ17" s="4"/>
      <c r="BA17" s="4"/>
      <c r="BB17" s="4"/>
    </row>
    <row r="18" spans="2:54" ht="12.75" customHeight="1">
      <c r="B18" s="54"/>
      <c r="C18" s="120"/>
      <c r="D18" s="118"/>
      <c r="E18" s="118"/>
      <c r="M18" s="41"/>
      <c r="P18" s="137" t="s">
        <v>7</v>
      </c>
      <c r="Q18" s="138" t="s">
        <v>8</v>
      </c>
      <c r="AC18" s="5"/>
      <c r="AD18" s="10"/>
      <c r="AG18" s="11"/>
      <c r="AH18" s="4"/>
      <c r="AI18" s="4"/>
      <c r="AJ18" s="4"/>
      <c r="AT18" s="4"/>
      <c r="AU18" s="4"/>
      <c r="AV18" s="4"/>
      <c r="AW18" s="4"/>
      <c r="AX18" s="4"/>
      <c r="AY18" s="4"/>
      <c r="AZ18" s="4"/>
      <c r="BA18" s="4"/>
      <c r="BB18" s="4"/>
    </row>
    <row r="19" spans="2:54" ht="12.75" customHeight="1" thickBot="1">
      <c r="B19" s="54"/>
      <c r="C19" s="146" t="s">
        <v>74</v>
      </c>
      <c r="D19" s="118"/>
      <c r="E19" s="118"/>
      <c r="M19" s="41"/>
      <c r="P19" s="137" t="s">
        <v>1</v>
      </c>
      <c r="Q19" s="138" t="s">
        <v>9</v>
      </c>
      <c r="V19" s="4"/>
      <c r="W19" s="4"/>
      <c r="AC19" s="5"/>
      <c r="AD19" s="10"/>
      <c r="AG19" s="11"/>
      <c r="AH19" s="4"/>
      <c r="AI19" s="4"/>
      <c r="AJ19" s="4"/>
      <c r="AT19" s="4"/>
      <c r="AU19" s="4"/>
      <c r="AV19" s="4"/>
      <c r="AW19" s="4"/>
      <c r="AX19" s="4"/>
      <c r="AY19" s="4"/>
      <c r="AZ19" s="4"/>
      <c r="BA19" s="4"/>
      <c r="BB19" s="4"/>
    </row>
    <row r="20" spans="2:54" ht="12.75" customHeight="1">
      <c r="B20" s="54"/>
      <c r="C20" s="120"/>
      <c r="D20" s="119" t="s">
        <v>102</v>
      </c>
      <c r="E20" s="49">
        <v>600</v>
      </c>
      <c r="F20" s="33" t="s">
        <v>4</v>
      </c>
      <c r="M20" s="41"/>
      <c r="P20" s="137" t="s">
        <v>0</v>
      </c>
      <c r="Q20" s="138" t="s">
        <v>2</v>
      </c>
      <c r="V20" s="4"/>
      <c r="W20" s="4"/>
      <c r="AC20" s="5"/>
      <c r="AD20" s="10"/>
      <c r="AG20" s="11"/>
      <c r="AH20" s="4"/>
      <c r="AI20" s="4"/>
      <c r="AJ20" s="4"/>
      <c r="AT20" s="4"/>
      <c r="AU20" s="4"/>
      <c r="AV20" s="4"/>
      <c r="AW20" s="4"/>
      <c r="AX20" s="4"/>
      <c r="AY20" s="4"/>
      <c r="AZ20" s="4"/>
      <c r="BA20" s="4"/>
      <c r="BB20" s="4"/>
    </row>
    <row r="21" spans="2:54" ht="12.75" customHeight="1">
      <c r="B21" s="54"/>
      <c r="C21" s="120"/>
      <c r="D21" s="119" t="s">
        <v>103</v>
      </c>
      <c r="E21" s="50">
        <v>500</v>
      </c>
      <c r="F21" s="33" t="s">
        <v>4</v>
      </c>
      <c r="M21" s="43"/>
      <c r="P21" s="143" t="s">
        <v>4</v>
      </c>
      <c r="Q21" s="144" t="s">
        <v>10</v>
      </c>
      <c r="V21" s="4"/>
      <c r="W21" s="4"/>
      <c r="X21" s="5"/>
      <c r="Y21" s="5"/>
      <c r="AC21" s="5"/>
      <c r="AD21" s="10"/>
      <c r="AG21" s="11"/>
      <c r="AH21" s="4"/>
      <c r="AI21" s="4"/>
      <c r="AJ21" s="4"/>
      <c r="AT21" s="4"/>
      <c r="AU21" s="4"/>
      <c r="AV21" s="4"/>
      <c r="AW21" s="4"/>
      <c r="AX21" s="4"/>
      <c r="AY21" s="4"/>
      <c r="AZ21" s="4"/>
      <c r="BA21" s="4"/>
      <c r="BB21" s="4"/>
    </row>
    <row r="22" spans="2:54" ht="12.75" customHeight="1">
      <c r="B22" s="54"/>
      <c r="C22" s="120"/>
      <c r="D22" s="119" t="s">
        <v>104</v>
      </c>
      <c r="E22" s="50">
        <v>500</v>
      </c>
      <c r="F22" s="33" t="s">
        <v>4</v>
      </c>
      <c r="M22" s="43"/>
      <c r="P22" s="58">
        <v>10</v>
      </c>
      <c r="Q22" s="64">
        <v>58</v>
      </c>
      <c r="V22" s="4"/>
      <c r="W22" s="4"/>
      <c r="X22" s="22"/>
      <c r="Y22" s="22"/>
      <c r="AC22" s="5"/>
      <c r="AD22" s="1"/>
      <c r="AE22" s="1"/>
      <c r="AF22" s="1"/>
      <c r="AG22" s="1"/>
      <c r="AH22" s="1"/>
      <c r="AI22" s="1"/>
      <c r="AJ22" s="4"/>
      <c r="AK22" s="4"/>
      <c r="AL22" s="4"/>
      <c r="AM22" s="4"/>
      <c r="AN22" s="4"/>
      <c r="AO22" s="4"/>
      <c r="AP22" s="4"/>
      <c r="AQ22" s="4"/>
      <c r="AR22" s="4"/>
      <c r="AS22" s="4"/>
      <c r="AT22" s="4"/>
      <c r="AU22" s="4"/>
      <c r="AV22" s="4"/>
      <c r="AW22" s="4"/>
      <c r="AX22" s="4"/>
      <c r="AY22" s="4"/>
      <c r="AZ22" s="4"/>
      <c r="BA22" s="4"/>
      <c r="BB22" s="4"/>
    </row>
    <row r="23" spans="2:54" ht="12.75" customHeight="1">
      <c r="B23" s="54"/>
      <c r="C23" s="120"/>
      <c r="D23" s="119" t="s">
        <v>25</v>
      </c>
      <c r="E23" s="50">
        <v>1100</v>
      </c>
      <c r="F23" s="87" t="s">
        <v>4</v>
      </c>
      <c r="M23" s="43"/>
      <c r="P23" s="58">
        <v>12</v>
      </c>
      <c r="Q23" s="64">
        <v>84.3</v>
      </c>
      <c r="W23" s="4"/>
      <c r="X23" s="5"/>
      <c r="Y23" s="5"/>
      <c r="AC23" s="5"/>
      <c r="AD23" s="1"/>
      <c r="AE23" s="1"/>
      <c r="AF23" s="1"/>
      <c r="AG23" s="1"/>
      <c r="AH23" s="1"/>
      <c r="AI23" s="1"/>
      <c r="AJ23" s="4"/>
      <c r="AK23" s="4"/>
      <c r="AL23" s="4"/>
      <c r="AM23" s="4"/>
      <c r="AN23" s="4"/>
      <c r="AO23" s="4"/>
      <c r="AP23" s="4"/>
      <c r="AQ23" s="4"/>
      <c r="AR23" s="4"/>
      <c r="AS23" s="4"/>
      <c r="AT23" s="4"/>
      <c r="AU23" s="4"/>
      <c r="AV23" s="4"/>
      <c r="AW23" s="4"/>
      <c r="AX23" s="4"/>
      <c r="AY23" s="4"/>
      <c r="AZ23" s="4"/>
      <c r="BA23" s="4"/>
      <c r="BB23" s="4"/>
    </row>
    <row r="24" spans="2:54" ht="12.75" customHeight="1">
      <c r="B24" s="54"/>
      <c r="C24" s="120"/>
      <c r="D24" s="119" t="s">
        <v>26</v>
      </c>
      <c r="E24" s="46">
        <v>750</v>
      </c>
      <c r="F24" s="87" t="s">
        <v>4</v>
      </c>
      <c r="M24" s="43"/>
      <c r="P24" s="58">
        <v>14</v>
      </c>
      <c r="Q24" s="64">
        <v>115</v>
      </c>
      <c r="Z24" s="5"/>
      <c r="AA24" s="5"/>
      <c r="AB24" s="5"/>
      <c r="AC24" s="5"/>
      <c r="AD24" s="1"/>
      <c r="AE24" s="1"/>
      <c r="AF24" s="1"/>
      <c r="AG24" s="1"/>
      <c r="AH24" s="1"/>
      <c r="AI24" s="1"/>
      <c r="AJ24" s="4"/>
      <c r="AK24" s="4"/>
      <c r="AL24" s="4"/>
      <c r="AM24" s="4"/>
      <c r="AN24" s="4"/>
      <c r="AO24" s="4"/>
      <c r="AP24" s="4"/>
      <c r="AQ24" s="4"/>
      <c r="AR24" s="4"/>
      <c r="AS24" s="4"/>
      <c r="AT24" s="4"/>
      <c r="AU24" s="4"/>
      <c r="AV24" s="4"/>
      <c r="AW24" s="4"/>
      <c r="AX24" s="4"/>
      <c r="AY24" s="4"/>
      <c r="AZ24" s="4"/>
      <c r="BA24" s="4"/>
      <c r="BB24" s="4"/>
    </row>
    <row r="25" spans="2:54" ht="12.75" customHeight="1">
      <c r="B25" s="54"/>
      <c r="C25" s="118"/>
      <c r="D25" s="118"/>
      <c r="E25" s="118"/>
      <c r="M25" s="43"/>
      <c r="P25" s="58">
        <v>16</v>
      </c>
      <c r="Q25" s="64">
        <v>157</v>
      </c>
      <c r="Z25" s="22"/>
      <c r="AA25" s="22"/>
      <c r="AB25" s="22"/>
      <c r="AC25" s="5"/>
      <c r="AD25" s="1"/>
      <c r="AE25" s="1"/>
      <c r="AF25" s="1"/>
      <c r="AG25" s="1"/>
      <c r="AH25" s="1"/>
      <c r="AI25" s="1"/>
      <c r="AJ25" s="4"/>
      <c r="AK25" s="4"/>
      <c r="AL25" s="4"/>
      <c r="AM25" s="4"/>
      <c r="AN25" s="4"/>
      <c r="AO25" s="4"/>
      <c r="AP25" s="4"/>
      <c r="AQ25" s="4"/>
      <c r="AR25" s="4"/>
      <c r="AS25" s="4"/>
      <c r="AT25" s="4"/>
      <c r="AU25" s="4"/>
      <c r="AV25" s="4"/>
      <c r="AW25" s="4"/>
      <c r="AX25" s="4"/>
      <c r="AY25" s="4"/>
      <c r="AZ25" s="4"/>
      <c r="BA25" s="4"/>
      <c r="BB25" s="4"/>
    </row>
    <row r="26" spans="2:54" ht="12.75" customHeight="1" thickBot="1">
      <c r="B26" s="54"/>
      <c r="C26" s="141" t="s">
        <v>77</v>
      </c>
      <c r="D26" s="118"/>
      <c r="E26" s="118"/>
      <c r="F26" s="77"/>
      <c r="G26" s="110"/>
      <c r="H26" s="110"/>
      <c r="I26" s="110"/>
      <c r="J26" s="110"/>
      <c r="K26" s="110"/>
      <c r="M26" s="42"/>
      <c r="P26" s="58">
        <v>18</v>
      </c>
      <c r="Q26" s="64">
        <v>192</v>
      </c>
      <c r="Z26" s="5"/>
      <c r="AA26" s="5"/>
      <c r="AB26" s="5"/>
      <c r="AC26" s="5"/>
      <c r="AD26" s="1"/>
      <c r="AE26" s="1"/>
      <c r="AF26" s="1"/>
      <c r="AG26" s="1"/>
      <c r="AH26" s="1"/>
      <c r="AI26" s="1"/>
      <c r="AJ26" s="4"/>
      <c r="AK26" s="4"/>
      <c r="AL26" s="4"/>
      <c r="AM26" s="4"/>
      <c r="AN26" s="4"/>
      <c r="AO26" s="4"/>
      <c r="AP26" s="4"/>
      <c r="AQ26" s="4"/>
      <c r="AR26" s="4"/>
      <c r="AS26" s="4"/>
      <c r="AT26" s="4"/>
      <c r="AU26" s="4"/>
      <c r="AV26" s="4"/>
      <c r="AW26" s="4"/>
      <c r="AX26" s="4"/>
      <c r="AY26" s="4"/>
      <c r="AZ26" s="4"/>
      <c r="BA26" s="4"/>
      <c r="BB26" s="4"/>
    </row>
    <row r="27" spans="2:54" ht="12.75" customHeight="1">
      <c r="B27" s="54"/>
      <c r="C27" s="120"/>
      <c r="D27" s="119" t="s">
        <v>78</v>
      </c>
      <c r="E27" s="47">
        <v>50</v>
      </c>
      <c r="F27" s="87" t="s">
        <v>4</v>
      </c>
      <c r="H27" s="110"/>
      <c r="I27" s="110"/>
      <c r="J27" s="110"/>
      <c r="K27" s="110"/>
      <c r="M27" s="43"/>
      <c r="P27" s="58">
        <v>20</v>
      </c>
      <c r="Q27" s="64">
        <v>245</v>
      </c>
      <c r="AA27" s="5"/>
      <c r="AB27" s="5"/>
      <c r="AC27" s="5"/>
      <c r="AD27" s="1"/>
      <c r="AE27" s="1"/>
      <c r="AF27" s="1"/>
      <c r="AG27" s="1"/>
      <c r="AH27" s="1"/>
      <c r="AI27" s="1"/>
      <c r="AJ27" s="4"/>
      <c r="AK27" s="4"/>
      <c r="AL27" s="4"/>
      <c r="AM27" s="4"/>
      <c r="AN27" s="4"/>
      <c r="AO27" s="4"/>
      <c r="AP27" s="4"/>
      <c r="AQ27" s="4"/>
      <c r="AR27" s="4"/>
      <c r="AS27" s="4"/>
      <c r="AT27" s="4"/>
      <c r="AU27" s="4"/>
      <c r="AV27" s="4"/>
      <c r="AW27" s="4"/>
      <c r="AX27" s="4"/>
      <c r="AY27" s="4"/>
      <c r="AZ27" s="4"/>
      <c r="BA27" s="4"/>
      <c r="BB27" s="4"/>
    </row>
    <row r="28" spans="2:54" ht="12.75" customHeight="1">
      <c r="B28" s="54"/>
      <c r="C28" s="118"/>
      <c r="D28" s="119" t="s">
        <v>35</v>
      </c>
      <c r="E28" s="46">
        <v>50</v>
      </c>
      <c r="F28" s="33" t="s">
        <v>4</v>
      </c>
      <c r="G28" s="111"/>
      <c r="H28" s="110"/>
      <c r="I28" s="110"/>
      <c r="J28" s="110"/>
      <c r="K28" s="110"/>
      <c r="M28" s="43"/>
      <c r="P28" s="58">
        <v>22</v>
      </c>
      <c r="Q28" s="64">
        <v>303</v>
      </c>
      <c r="AA28" s="5"/>
      <c r="AB28" s="5"/>
      <c r="AC28" s="5"/>
      <c r="AD28" s="1"/>
      <c r="AE28" s="1"/>
      <c r="AF28" s="1"/>
      <c r="AG28" s="1"/>
      <c r="AH28" s="1"/>
      <c r="AI28" s="1"/>
      <c r="AJ28" s="4"/>
      <c r="AK28" s="4"/>
      <c r="AL28" s="4"/>
      <c r="AM28" s="4"/>
      <c r="AN28" s="4"/>
      <c r="AO28" s="4"/>
      <c r="AP28" s="4"/>
      <c r="AQ28" s="4"/>
      <c r="AR28" s="4"/>
      <c r="AS28" s="4"/>
      <c r="AT28" s="4"/>
      <c r="AU28" s="4"/>
      <c r="AV28" s="4"/>
      <c r="AW28" s="4"/>
      <c r="AX28" s="4"/>
      <c r="AY28" s="4"/>
      <c r="AZ28" s="4"/>
      <c r="BA28" s="4"/>
      <c r="BB28" s="4"/>
    </row>
    <row r="29" spans="2:54" ht="12.75" customHeight="1">
      <c r="B29" s="54"/>
      <c r="C29" s="118"/>
      <c r="D29" s="119" t="s">
        <v>79</v>
      </c>
      <c r="E29" s="46">
        <v>150</v>
      </c>
      <c r="F29" s="87" t="s">
        <v>4</v>
      </c>
      <c r="G29" s="110"/>
      <c r="H29" s="110"/>
      <c r="I29" s="110"/>
      <c r="J29" s="110"/>
      <c r="K29" s="110"/>
      <c r="M29" s="43"/>
      <c r="P29" s="58">
        <v>24</v>
      </c>
      <c r="Q29" s="64">
        <v>353</v>
      </c>
      <c r="AA29" s="5"/>
      <c r="AB29" s="5"/>
      <c r="AC29" s="5"/>
      <c r="AD29" s="1"/>
      <c r="AE29" s="1"/>
      <c r="AF29" s="1"/>
      <c r="AG29" s="1"/>
      <c r="AH29" s="1"/>
      <c r="AI29" s="1"/>
      <c r="AJ29" s="4"/>
      <c r="AK29" s="4"/>
      <c r="AL29" s="4"/>
      <c r="AM29" s="4"/>
      <c r="AN29" s="4"/>
      <c r="AO29" s="4"/>
      <c r="AP29" s="4"/>
      <c r="AQ29" s="4"/>
      <c r="AR29" s="4"/>
      <c r="AS29" s="4"/>
      <c r="AT29" s="4"/>
      <c r="AU29" s="4"/>
      <c r="AV29" s="4"/>
      <c r="AW29" s="4"/>
      <c r="AX29" s="4"/>
      <c r="AY29" s="4"/>
      <c r="AZ29" s="4"/>
      <c r="BA29" s="4"/>
      <c r="BB29" s="4"/>
    </row>
    <row r="30" spans="2:54" ht="12.75" customHeight="1">
      <c r="B30" s="54"/>
      <c r="C30" s="118"/>
      <c r="D30" s="119" t="s">
        <v>80</v>
      </c>
      <c r="E30" s="46">
        <v>500</v>
      </c>
      <c r="F30" s="33" t="s">
        <v>4</v>
      </c>
      <c r="M30" s="43"/>
      <c r="P30" s="58">
        <v>27</v>
      </c>
      <c r="Q30" s="64">
        <v>459</v>
      </c>
      <c r="AA30" s="5"/>
      <c r="AB30" s="5"/>
      <c r="AC30" s="5"/>
      <c r="AD30" s="1"/>
      <c r="AE30" s="1"/>
      <c r="AF30" s="1"/>
      <c r="AG30" s="1"/>
      <c r="AH30" s="1"/>
      <c r="AI30" s="1"/>
      <c r="AJ30" s="4"/>
      <c r="AK30" s="4"/>
      <c r="AL30" s="4"/>
      <c r="AM30" s="4"/>
      <c r="AN30" s="4"/>
      <c r="AO30" s="4"/>
      <c r="AP30" s="4"/>
      <c r="AQ30" s="4"/>
      <c r="AR30" s="4"/>
      <c r="AS30" s="4"/>
      <c r="AT30" s="4"/>
      <c r="AU30" s="4"/>
      <c r="AV30" s="4"/>
      <c r="AW30" s="4"/>
      <c r="AX30" s="4"/>
      <c r="AY30" s="4"/>
      <c r="AZ30" s="4"/>
      <c r="BA30" s="4"/>
      <c r="BB30" s="4"/>
    </row>
    <row r="31" spans="2:54" ht="12.75" customHeight="1">
      <c r="B31" s="54"/>
      <c r="C31" s="126"/>
      <c r="D31" s="119" t="s">
        <v>81</v>
      </c>
      <c r="E31" s="46">
        <v>50</v>
      </c>
      <c r="F31" s="91" t="s">
        <v>4</v>
      </c>
      <c r="M31" s="43"/>
      <c r="P31" s="58">
        <v>30</v>
      </c>
      <c r="Q31" s="64">
        <v>561</v>
      </c>
      <c r="Z31" s="5"/>
      <c r="AA31" s="5"/>
      <c r="AB31" s="5"/>
      <c r="AC31" s="5"/>
      <c r="AD31" s="1"/>
      <c r="AE31" s="1"/>
      <c r="AF31" s="1"/>
      <c r="AG31" s="1"/>
      <c r="AH31" s="1"/>
      <c r="AI31" s="1"/>
      <c r="AJ31" s="4"/>
      <c r="AK31" s="4"/>
      <c r="AL31" s="4"/>
      <c r="AM31" s="4"/>
      <c r="AN31" s="4"/>
      <c r="AO31" s="4"/>
      <c r="AP31" s="4"/>
      <c r="AQ31" s="4"/>
      <c r="AR31" s="4"/>
      <c r="AS31" s="4"/>
      <c r="AT31" s="4"/>
      <c r="AU31" s="4"/>
      <c r="AV31" s="4"/>
      <c r="AW31" s="4"/>
      <c r="AX31" s="4"/>
      <c r="AY31" s="4"/>
      <c r="AZ31" s="4"/>
      <c r="BA31" s="4"/>
      <c r="BB31" s="4"/>
    </row>
    <row r="32" spans="2:54" ht="12.75" customHeight="1">
      <c r="B32" s="54"/>
      <c r="C32" s="118"/>
      <c r="D32" s="118"/>
      <c r="E32" s="118"/>
      <c r="F32" s="118"/>
      <c r="G32" s="147"/>
      <c r="H32" s="147"/>
      <c r="I32" s="147"/>
      <c r="J32" s="147"/>
      <c r="K32" s="147"/>
      <c r="L32" s="115"/>
      <c r="M32" s="43"/>
      <c r="P32" s="58">
        <v>33</v>
      </c>
      <c r="Q32" s="64">
        <v>694</v>
      </c>
      <c r="Z32" s="5"/>
      <c r="AA32" s="5"/>
      <c r="AB32" s="5"/>
      <c r="AC32" s="5"/>
      <c r="AD32" s="1"/>
      <c r="AE32" s="1"/>
      <c r="AF32" s="1"/>
      <c r="AG32" s="1"/>
      <c r="AH32" s="1"/>
      <c r="AI32" s="1"/>
      <c r="AJ32" s="4"/>
      <c r="AK32" s="4"/>
      <c r="AL32" s="4"/>
      <c r="AM32" s="4"/>
      <c r="AN32" s="4"/>
      <c r="AO32" s="4"/>
      <c r="AP32" s="4"/>
      <c r="AQ32" s="4"/>
      <c r="AR32" s="4"/>
      <c r="AS32" s="4"/>
      <c r="AT32" s="4"/>
      <c r="AU32" s="4"/>
      <c r="AV32" s="4"/>
      <c r="AW32" s="4"/>
      <c r="AX32" s="4"/>
      <c r="AY32" s="4"/>
      <c r="AZ32" s="4"/>
      <c r="BA32" s="4"/>
      <c r="BB32" s="4"/>
    </row>
    <row r="33" spans="2:54" ht="12.75" customHeight="1" thickBot="1">
      <c r="B33" s="54"/>
      <c r="C33" s="146" t="s">
        <v>60</v>
      </c>
      <c r="D33" s="118"/>
      <c r="E33" s="118"/>
      <c r="F33" s="118"/>
      <c r="G33" s="118"/>
      <c r="H33" s="118"/>
      <c r="I33" s="118"/>
      <c r="J33" s="118"/>
      <c r="K33" s="118"/>
      <c r="L33" s="115"/>
      <c r="M33" s="55"/>
      <c r="P33" s="58">
        <v>36</v>
      </c>
      <c r="Q33" s="64">
        <v>817</v>
      </c>
      <c r="Z33" s="5"/>
      <c r="AA33" s="5"/>
      <c r="AB33" s="5"/>
      <c r="AC33" s="5"/>
      <c r="AD33" s="1"/>
      <c r="AE33" s="1"/>
      <c r="AF33" s="1"/>
      <c r="AG33" s="1"/>
      <c r="AH33" s="1"/>
      <c r="AI33" s="1"/>
      <c r="AJ33" s="4"/>
      <c r="AK33" s="4"/>
      <c r="AL33" s="4"/>
      <c r="AM33" s="4"/>
      <c r="AN33" s="4"/>
      <c r="AO33" s="4"/>
      <c r="AP33" s="4"/>
      <c r="AQ33" s="4"/>
      <c r="AR33" s="4"/>
      <c r="AS33" s="4"/>
      <c r="AT33" s="4"/>
      <c r="AU33" s="4"/>
      <c r="AV33" s="4"/>
      <c r="AW33" s="4"/>
      <c r="AX33" s="4"/>
      <c r="AY33" s="4"/>
      <c r="AZ33" s="4"/>
      <c r="BA33" s="4"/>
      <c r="BB33" s="4"/>
    </row>
    <row r="34" spans="2:54" ht="12.75" customHeight="1">
      <c r="B34" s="54"/>
      <c r="C34" s="118"/>
      <c r="D34" s="121" t="s">
        <v>82</v>
      </c>
      <c r="E34" s="49">
        <v>4</v>
      </c>
      <c r="F34" s="118"/>
      <c r="G34" s="118"/>
      <c r="H34" s="118"/>
      <c r="I34" s="118"/>
      <c r="J34" s="118"/>
      <c r="K34" s="118"/>
      <c r="L34" s="115"/>
      <c r="M34" s="55"/>
      <c r="N34" s="27"/>
      <c r="P34" s="58">
        <v>39</v>
      </c>
      <c r="Q34" s="64">
        <v>976</v>
      </c>
      <c r="X34" s="148"/>
      <c r="Z34" s="148"/>
      <c r="AA34" s="148"/>
      <c r="AB34" s="148"/>
      <c r="AC34" s="5"/>
      <c r="AD34" s="1"/>
      <c r="AE34" s="1"/>
      <c r="AF34" s="1"/>
      <c r="AG34" s="1"/>
      <c r="AH34" s="1"/>
      <c r="AI34" s="1"/>
      <c r="AJ34" s="4"/>
      <c r="AK34" s="4"/>
      <c r="AL34" s="4"/>
      <c r="AM34" s="4"/>
      <c r="AN34" s="4"/>
      <c r="AO34" s="4"/>
      <c r="AP34" s="4"/>
      <c r="AQ34" s="4"/>
      <c r="AR34" s="4"/>
      <c r="AS34" s="4"/>
      <c r="AT34" s="4"/>
      <c r="AU34" s="4"/>
      <c r="AV34" s="4"/>
      <c r="AW34" s="4"/>
      <c r="AX34" s="4"/>
      <c r="AY34" s="4"/>
      <c r="AZ34" s="4"/>
      <c r="BA34" s="4"/>
      <c r="BB34" s="4"/>
    </row>
    <row r="35" spans="2:54" ht="12.75" customHeight="1">
      <c r="B35" s="54"/>
      <c r="C35" s="118"/>
      <c r="D35" s="136" t="s">
        <v>106</v>
      </c>
      <c r="E35" s="48" t="s">
        <v>28</v>
      </c>
      <c r="F35" s="118"/>
      <c r="G35" s="118"/>
      <c r="H35" s="118"/>
      <c r="I35" s="118"/>
      <c r="J35" s="118"/>
      <c r="K35" s="118"/>
      <c r="L35" s="115"/>
      <c r="M35" s="55"/>
      <c r="P35" s="58">
        <v>42</v>
      </c>
      <c r="Q35" s="64">
        <v>1120</v>
      </c>
      <c r="Y35" s="148"/>
      <c r="Z35" s="148"/>
      <c r="AA35" s="148"/>
      <c r="AB35" s="148"/>
      <c r="AC35" s="5"/>
      <c r="AD35" s="1"/>
      <c r="AE35" s="1"/>
      <c r="AF35" s="1"/>
      <c r="AG35" s="1"/>
      <c r="AH35" s="1"/>
      <c r="AI35" s="1"/>
      <c r="AJ35" s="4"/>
      <c r="AK35" s="4"/>
      <c r="AL35" s="4"/>
      <c r="AM35" s="4"/>
      <c r="AN35" s="4"/>
      <c r="AO35" s="4"/>
      <c r="AP35" s="4"/>
      <c r="AQ35" s="4"/>
      <c r="AR35" s="4"/>
      <c r="AS35" s="4"/>
      <c r="AT35" s="4"/>
      <c r="AU35" s="4"/>
      <c r="AV35" s="4"/>
      <c r="AW35" s="4"/>
      <c r="AX35" s="4"/>
      <c r="AY35" s="4"/>
      <c r="AZ35" s="4"/>
      <c r="BA35" s="4"/>
      <c r="BB35" s="4"/>
    </row>
    <row r="36" spans="2:54" ht="12.75" customHeight="1">
      <c r="B36" s="54"/>
      <c r="C36" s="118"/>
      <c r="D36" s="127" t="s">
        <v>83</v>
      </c>
      <c r="E36" s="72">
        <v>42</v>
      </c>
      <c r="F36" s="149" t="s">
        <v>4</v>
      </c>
      <c r="G36" s="118"/>
      <c r="H36" s="118"/>
      <c r="I36" s="118"/>
      <c r="J36" s="118"/>
      <c r="K36" s="118"/>
      <c r="L36" s="115"/>
      <c r="M36" s="55"/>
      <c r="N36" s="12"/>
      <c r="P36" s="58">
        <v>45</v>
      </c>
      <c r="Q36" s="64">
        <v>1300</v>
      </c>
      <c r="X36" s="148"/>
      <c r="Y36" s="148"/>
      <c r="Z36" s="148"/>
      <c r="AA36" s="148"/>
      <c r="AB36" s="148"/>
      <c r="AC36" s="5"/>
      <c r="AD36" s="1"/>
      <c r="AE36" s="1"/>
      <c r="AF36" s="1"/>
      <c r="AG36" s="1"/>
      <c r="AH36" s="1"/>
      <c r="AI36" s="1"/>
      <c r="AJ36" s="4"/>
      <c r="AK36" s="4"/>
      <c r="AL36" s="4"/>
      <c r="AM36" s="4"/>
      <c r="AN36" s="4"/>
      <c r="AO36" s="4"/>
      <c r="AP36" s="4"/>
      <c r="AQ36" s="4"/>
      <c r="AR36" s="4"/>
      <c r="AS36" s="4"/>
      <c r="AT36" s="4"/>
      <c r="AU36" s="4"/>
      <c r="AV36" s="4"/>
      <c r="AW36" s="4"/>
      <c r="AX36" s="4"/>
      <c r="AY36" s="4"/>
      <c r="AZ36" s="4"/>
      <c r="BA36" s="4"/>
      <c r="BB36" s="4"/>
    </row>
    <row r="37" spans="2:54" ht="12.75" customHeight="1">
      <c r="B37" s="54"/>
      <c r="C37" s="118"/>
      <c r="D37" s="136" t="s">
        <v>105</v>
      </c>
      <c r="E37" s="112">
        <v>860</v>
      </c>
      <c r="F37" s="122" t="s">
        <v>11</v>
      </c>
      <c r="G37" s="118"/>
      <c r="H37" s="118"/>
      <c r="I37" s="118"/>
      <c r="J37" s="118"/>
      <c r="K37" s="118"/>
      <c r="L37" s="115"/>
      <c r="M37" s="41"/>
      <c r="N37" s="12"/>
      <c r="P37" s="58">
        <v>48</v>
      </c>
      <c r="Q37" s="64">
        <v>1470</v>
      </c>
      <c r="X37" s="150"/>
      <c r="Y37" s="148"/>
      <c r="Z37" s="148"/>
      <c r="AA37" s="148"/>
      <c r="AB37" s="148"/>
      <c r="AC37" s="5"/>
      <c r="AD37" s="1"/>
      <c r="AE37" s="1"/>
      <c r="AF37" s="1"/>
      <c r="AG37" s="1"/>
      <c r="AH37" s="1"/>
      <c r="AI37" s="1"/>
      <c r="AJ37" s="4"/>
      <c r="AK37" s="4"/>
      <c r="AL37" s="4"/>
      <c r="AM37" s="4"/>
      <c r="AN37" s="4"/>
      <c r="AO37" s="4"/>
      <c r="AP37" s="4"/>
      <c r="AQ37" s="4"/>
      <c r="AR37" s="4"/>
      <c r="AS37" s="4"/>
      <c r="AT37" s="4"/>
      <c r="AU37" s="4"/>
      <c r="AV37" s="4"/>
      <c r="AW37" s="4"/>
      <c r="AX37" s="4"/>
      <c r="AY37" s="4"/>
      <c r="AZ37" s="4"/>
      <c r="BA37" s="4"/>
      <c r="BB37" s="4"/>
    </row>
    <row r="38" spans="2:54" ht="12.75" customHeight="1">
      <c r="B38" s="54"/>
      <c r="C38" s="118"/>
      <c r="D38" s="118"/>
      <c r="E38" s="118"/>
      <c r="F38" s="118"/>
      <c r="G38" s="118"/>
      <c r="H38" s="118"/>
      <c r="I38" s="118"/>
      <c r="J38" s="118"/>
      <c r="K38" s="118"/>
      <c r="L38" s="115"/>
      <c r="M38" s="41"/>
      <c r="P38" s="58">
        <v>52</v>
      </c>
      <c r="Q38" s="64">
        <v>1760</v>
      </c>
      <c r="X38" s="148"/>
      <c r="Y38" s="148"/>
      <c r="Z38" s="148"/>
      <c r="AA38" s="148"/>
      <c r="AB38" s="148"/>
      <c r="AC38" s="16"/>
      <c r="AD38" s="1"/>
      <c r="AE38" s="1"/>
      <c r="AF38" s="1"/>
      <c r="AG38" s="1"/>
      <c r="AH38" s="1"/>
      <c r="AI38" s="1"/>
      <c r="AJ38" s="4"/>
      <c r="AK38" s="4"/>
      <c r="AL38" s="4"/>
      <c r="AM38" s="4"/>
      <c r="AN38" s="4"/>
      <c r="AO38" s="4"/>
      <c r="AP38" s="4"/>
      <c r="AQ38" s="4"/>
      <c r="AR38" s="4"/>
      <c r="AS38" s="4"/>
      <c r="AT38" s="4"/>
      <c r="AU38" s="4"/>
      <c r="AV38" s="4"/>
      <c r="AW38" s="4"/>
      <c r="AX38" s="4"/>
      <c r="AY38" s="4"/>
      <c r="AZ38" s="4"/>
      <c r="BA38" s="4"/>
      <c r="BB38" s="4"/>
    </row>
    <row r="39" spans="2:54" ht="12.75" customHeight="1" thickBot="1">
      <c r="B39" s="54"/>
      <c r="C39" s="151" t="s">
        <v>107</v>
      </c>
      <c r="D39" s="118"/>
      <c r="E39" s="118"/>
      <c r="F39" s="118"/>
      <c r="G39" s="118"/>
      <c r="H39" s="118"/>
      <c r="I39" s="118"/>
      <c r="J39" s="118"/>
      <c r="K39" s="118"/>
      <c r="L39" s="115"/>
      <c r="M39" s="41"/>
      <c r="P39" s="58">
        <v>56</v>
      </c>
      <c r="Q39" s="64">
        <v>2030</v>
      </c>
      <c r="S39" s="20"/>
      <c r="T39" s="5"/>
      <c r="U39" s="5"/>
      <c r="V39" s="5"/>
      <c r="X39" s="148"/>
      <c r="Y39" s="148"/>
      <c r="Z39" s="148"/>
      <c r="AA39" s="148"/>
      <c r="AB39" s="148"/>
      <c r="AC39" s="5"/>
      <c r="AD39" s="1"/>
      <c r="AE39" s="1"/>
      <c r="AF39" s="1"/>
      <c r="AG39" s="1"/>
      <c r="AH39" s="1"/>
      <c r="AI39" s="1"/>
      <c r="AJ39" s="4"/>
      <c r="AK39" s="4"/>
      <c r="AL39" s="4"/>
      <c r="AM39" s="4"/>
      <c r="AN39" s="4"/>
      <c r="AO39" s="4"/>
      <c r="AP39" s="4"/>
      <c r="AQ39" s="4"/>
      <c r="AR39" s="4"/>
      <c r="AS39" s="4"/>
      <c r="AT39" s="4"/>
      <c r="AU39" s="4"/>
      <c r="AV39" s="4"/>
      <c r="AW39" s="4"/>
      <c r="AX39" s="4"/>
      <c r="AY39" s="4"/>
      <c r="AZ39" s="4"/>
      <c r="BA39" s="4"/>
      <c r="BB39" s="4"/>
    </row>
    <row r="40" spans="2:54" ht="12.75" customHeight="1">
      <c r="B40" s="54"/>
      <c r="C40" s="118"/>
      <c r="D40" s="152" t="s">
        <v>41</v>
      </c>
      <c r="E40" s="102" t="s">
        <v>12</v>
      </c>
      <c r="F40" s="118"/>
      <c r="G40" s="153" t="s">
        <v>120</v>
      </c>
      <c r="H40" s="153"/>
      <c r="I40" s="153"/>
      <c r="J40" s="153"/>
      <c r="K40" s="153"/>
      <c r="L40" s="153"/>
      <c r="M40" s="154"/>
      <c r="P40" s="58">
        <v>60</v>
      </c>
      <c r="Q40" s="64">
        <v>2360</v>
      </c>
      <c r="S40" s="20"/>
      <c r="T40" s="5"/>
      <c r="U40" s="5"/>
      <c r="V40" s="5"/>
      <c r="X40" s="155"/>
      <c r="Y40" s="148"/>
      <c r="Z40" s="148"/>
      <c r="AA40" s="148"/>
      <c r="AB40" s="148"/>
      <c r="AC40" s="16"/>
      <c r="AD40" s="1"/>
      <c r="AE40" s="1"/>
      <c r="AF40" s="1"/>
      <c r="AG40" s="1"/>
      <c r="AH40" s="1"/>
      <c r="AI40" s="1"/>
      <c r="AJ40" s="4"/>
      <c r="AK40" s="4"/>
      <c r="AL40" s="4"/>
      <c r="AM40" s="4"/>
      <c r="AN40" s="4"/>
      <c r="AO40" s="4"/>
      <c r="AP40" s="4"/>
      <c r="AQ40" s="4"/>
      <c r="AR40" s="4"/>
      <c r="AS40" s="4"/>
      <c r="AT40" s="4"/>
      <c r="AU40" s="4"/>
      <c r="AV40" s="4"/>
      <c r="AW40" s="4"/>
      <c r="AX40" s="4"/>
      <c r="AY40" s="4"/>
      <c r="AZ40" s="4"/>
      <c r="BA40" s="4"/>
      <c r="BB40" s="4"/>
    </row>
    <row r="41" spans="2:54" ht="12.75" customHeight="1">
      <c r="B41" s="54"/>
      <c r="C41" s="118"/>
      <c r="D41" s="152" t="s">
        <v>15</v>
      </c>
      <c r="E41" s="128" t="s">
        <v>12</v>
      </c>
      <c r="F41" s="118"/>
      <c r="G41" s="153"/>
      <c r="H41" s="153"/>
      <c r="I41" s="153"/>
      <c r="J41" s="153"/>
      <c r="K41" s="153"/>
      <c r="L41" s="153"/>
      <c r="M41" s="154"/>
      <c r="P41" s="58">
        <v>64</v>
      </c>
      <c r="Q41" s="64">
        <v>2680</v>
      </c>
      <c r="S41" s="20"/>
      <c r="T41" s="5"/>
      <c r="U41" s="5"/>
      <c r="V41" s="5"/>
      <c r="W41" s="5"/>
      <c r="X41" s="5"/>
      <c r="Y41" s="5"/>
      <c r="Z41" s="5"/>
      <c r="AA41" s="5"/>
      <c r="AB41" s="5"/>
      <c r="AD41" s="1"/>
      <c r="AE41" s="1"/>
      <c r="AF41" s="1"/>
      <c r="AG41" s="1"/>
      <c r="AH41" s="1"/>
      <c r="AI41" s="1"/>
      <c r="AJ41" s="4"/>
      <c r="AK41" s="4"/>
      <c r="AL41" s="4"/>
      <c r="AM41" s="4"/>
      <c r="AN41" s="4"/>
      <c r="AO41" s="4"/>
      <c r="AP41" s="4"/>
      <c r="AQ41" s="4"/>
      <c r="AR41" s="4"/>
      <c r="AS41" s="4"/>
      <c r="AT41" s="4"/>
      <c r="AU41" s="4"/>
      <c r="AV41" s="4"/>
      <c r="AW41" s="4"/>
      <c r="AX41" s="4"/>
      <c r="AY41" s="4"/>
      <c r="AZ41" s="4"/>
      <c r="BA41" s="4"/>
      <c r="BB41" s="4"/>
    </row>
    <row r="42" spans="2:54" ht="12.75" customHeight="1">
      <c r="B42" s="54"/>
      <c r="C42" s="118"/>
      <c r="D42" s="118"/>
      <c r="E42" s="103" t="s">
        <v>13</v>
      </c>
      <c r="F42" s="118"/>
      <c r="G42" s="153"/>
      <c r="H42" s="153"/>
      <c r="I42" s="153"/>
      <c r="J42" s="153"/>
      <c r="K42" s="153"/>
      <c r="L42" s="153"/>
      <c r="M42" s="154"/>
      <c r="P42" s="65">
        <v>68</v>
      </c>
      <c r="Q42" s="66">
        <v>3060</v>
      </c>
      <c r="S42" s="20"/>
      <c r="T42" s="5"/>
      <c r="U42" s="5"/>
      <c r="V42" s="5"/>
      <c r="W42" s="5"/>
      <c r="X42" s="5"/>
      <c r="Y42" s="5"/>
      <c r="Z42" s="5"/>
      <c r="AA42" s="5"/>
      <c r="AB42" s="5"/>
      <c r="AC42" s="5"/>
      <c r="AD42" s="1"/>
      <c r="AE42" s="1"/>
      <c r="AF42" s="1"/>
      <c r="AG42" s="1"/>
      <c r="AH42" s="1"/>
      <c r="AI42" s="1"/>
      <c r="AJ42" s="4"/>
      <c r="AK42" s="4"/>
      <c r="AL42" s="4"/>
      <c r="AM42" s="4"/>
      <c r="AN42" s="4"/>
      <c r="AO42" s="4"/>
      <c r="AP42" s="4"/>
      <c r="AQ42" s="4"/>
      <c r="AR42" s="4"/>
      <c r="AS42" s="4"/>
      <c r="AT42" s="4"/>
      <c r="AU42" s="4"/>
      <c r="AV42" s="4"/>
      <c r="AW42" s="4"/>
      <c r="AX42" s="4"/>
      <c r="AY42" s="4"/>
      <c r="AZ42" s="4"/>
      <c r="BA42" s="4"/>
      <c r="BB42" s="4"/>
    </row>
    <row r="43" spans="2:54" ht="12.75" customHeight="1">
      <c r="B43" s="93"/>
      <c r="C43" s="94"/>
      <c r="D43" s="94"/>
      <c r="E43" s="94"/>
      <c r="F43" s="94"/>
      <c r="G43" s="156"/>
      <c r="H43" s="156"/>
      <c r="I43" s="156"/>
      <c r="J43" s="156"/>
      <c r="K43" s="156"/>
      <c r="L43" s="156"/>
      <c r="M43" s="157"/>
      <c r="P43" s="1"/>
      <c r="S43" s="20"/>
      <c r="T43" s="5"/>
      <c r="U43" s="5"/>
      <c r="V43" s="5"/>
      <c r="W43" s="5"/>
      <c r="X43" s="5"/>
      <c r="Y43" s="5"/>
      <c r="Z43" s="5"/>
      <c r="AA43" s="5"/>
      <c r="AB43" s="5"/>
      <c r="AC43" s="5"/>
      <c r="AD43" s="1"/>
      <c r="AE43" s="1"/>
      <c r="AF43" s="1"/>
      <c r="AG43" s="1"/>
      <c r="AH43" s="1"/>
      <c r="AI43" s="1"/>
      <c r="AJ43" s="4"/>
      <c r="AK43" s="4"/>
      <c r="AL43" s="4"/>
      <c r="AM43" s="4"/>
      <c r="AN43" s="4"/>
      <c r="AO43" s="4"/>
      <c r="AP43" s="4"/>
      <c r="AQ43" s="4"/>
      <c r="AR43" s="4"/>
      <c r="AS43" s="4"/>
      <c r="AT43" s="4"/>
      <c r="AU43" s="4"/>
      <c r="AV43" s="4"/>
      <c r="AW43" s="4"/>
      <c r="AX43" s="4"/>
      <c r="AY43" s="4"/>
      <c r="AZ43" s="4"/>
      <c r="BA43" s="4"/>
      <c r="BB43" s="4"/>
    </row>
    <row r="44" spans="2:54" ht="12.75" customHeight="1">
      <c r="C44" s="107" t="s">
        <v>84</v>
      </c>
      <c r="K44" s="109" t="s">
        <v>85</v>
      </c>
      <c r="L44" s="109"/>
      <c r="P44" s="1"/>
      <c r="X44" s="5"/>
      <c r="Y44" s="5"/>
      <c r="Z44" s="5"/>
      <c r="AA44" s="5"/>
      <c r="AB44" s="5"/>
      <c r="AC44" s="1"/>
      <c r="AD44" s="1"/>
      <c r="AE44" s="1"/>
      <c r="AF44" s="1"/>
      <c r="AG44" s="1"/>
      <c r="AH44" s="1"/>
      <c r="AI44" s="1"/>
      <c r="AJ44" s="4"/>
      <c r="AK44" s="4"/>
      <c r="AL44" s="4"/>
      <c r="AM44" s="4"/>
      <c r="AN44" s="4"/>
      <c r="AO44" s="4"/>
      <c r="AP44" s="4"/>
      <c r="AQ44" s="4"/>
      <c r="AR44" s="4"/>
      <c r="AS44" s="4"/>
      <c r="AT44" s="4"/>
      <c r="AU44" s="4"/>
      <c r="AV44" s="4"/>
      <c r="AW44" s="4"/>
      <c r="AX44" s="4"/>
      <c r="AY44" s="4"/>
      <c r="AZ44" s="4"/>
      <c r="BA44" s="4"/>
      <c r="BB44" s="4"/>
    </row>
    <row r="45" spans="2:54" ht="12.75" customHeight="1">
      <c r="B45" s="51"/>
      <c r="C45" s="106"/>
      <c r="D45" s="52"/>
      <c r="E45" s="52"/>
      <c r="F45" s="52"/>
      <c r="G45" s="158"/>
      <c r="H45" s="159"/>
      <c r="I45" s="159"/>
      <c r="J45" s="159"/>
      <c r="K45" s="108"/>
      <c r="L45" s="108"/>
      <c r="M45" s="53"/>
      <c r="X45" s="5"/>
      <c r="Y45" s="5"/>
      <c r="Z45" s="5"/>
      <c r="AA45" s="5"/>
      <c r="AB45" s="5"/>
      <c r="AC45" s="1"/>
      <c r="AD45" s="1"/>
      <c r="AE45" s="1"/>
      <c r="AF45" s="1"/>
      <c r="AG45" s="1"/>
      <c r="AH45" s="1"/>
      <c r="AI45" s="1"/>
      <c r="AJ45" s="4"/>
      <c r="AK45" s="4"/>
      <c r="AL45" s="4"/>
      <c r="AM45" s="4"/>
      <c r="AN45" s="4"/>
      <c r="AO45" s="4"/>
      <c r="AP45" s="4"/>
      <c r="AQ45" s="4"/>
      <c r="AR45" s="4"/>
      <c r="AS45" s="4"/>
      <c r="AT45" s="4"/>
      <c r="AU45" s="4"/>
      <c r="AV45" s="4"/>
      <c r="AW45" s="4"/>
      <c r="AX45" s="4"/>
      <c r="AY45" s="4"/>
      <c r="AZ45" s="4"/>
      <c r="BA45" s="4"/>
      <c r="BB45" s="4"/>
    </row>
    <row r="46" spans="2:54" ht="12.75" customHeight="1">
      <c r="B46" s="54"/>
      <c r="C46" s="75" t="s">
        <v>42</v>
      </c>
      <c r="K46" s="28"/>
      <c r="L46" s="131"/>
      <c r="M46" s="55"/>
      <c r="O46" s="25"/>
      <c r="P46" s="160"/>
      <c r="Q46" s="160"/>
      <c r="R46" s="160"/>
      <c r="S46" s="160"/>
      <c r="T46" s="145"/>
      <c r="U46" s="145"/>
      <c r="V46" s="145"/>
      <c r="W46" s="161"/>
      <c r="X46" s="5"/>
      <c r="Y46" s="5"/>
      <c r="Z46" s="5"/>
      <c r="AA46" s="5"/>
      <c r="AB46" s="5"/>
      <c r="AC46" s="1"/>
      <c r="AD46" s="1"/>
      <c r="AE46" s="1"/>
      <c r="AF46" s="1"/>
      <c r="AG46" s="1"/>
      <c r="AH46" s="1"/>
      <c r="AI46" s="1"/>
      <c r="AJ46" s="4"/>
      <c r="AK46" s="4"/>
      <c r="AL46" s="4"/>
      <c r="AM46" s="4"/>
      <c r="AN46" s="4"/>
      <c r="AO46" s="4"/>
      <c r="AP46" s="4"/>
      <c r="AQ46" s="4"/>
      <c r="AR46" s="4"/>
      <c r="AS46" s="4"/>
      <c r="AT46" s="4"/>
      <c r="AU46" s="4"/>
      <c r="AV46" s="4"/>
      <c r="AW46" s="4"/>
      <c r="AX46" s="4"/>
      <c r="AY46" s="4"/>
      <c r="AZ46" s="4"/>
      <c r="BA46" s="4"/>
      <c r="BB46" s="4"/>
    </row>
    <row r="47" spans="2:54" ht="12.75" customHeight="1">
      <c r="B47" s="54"/>
      <c r="C47" s="34" t="s">
        <v>61</v>
      </c>
      <c r="D47" s="56">
        <f>IF(E7&gt;0,E8,IF(0.75*$E$14*-E7&gt;=ABS(E8),0,ABS(E8)+0.75*$E$14*E7))</f>
        <v>300</v>
      </c>
      <c r="E47" s="33" t="s">
        <v>3</v>
      </c>
      <c r="F47" s="96" t="s">
        <v>94</v>
      </c>
      <c r="I47" s="4" t="s">
        <v>64</v>
      </c>
      <c r="L47" s="131"/>
      <c r="M47" s="41"/>
      <c r="O47" s="162"/>
      <c r="P47" s="21"/>
      <c r="Q47" s="163"/>
      <c r="R47" s="150"/>
      <c r="S47" s="150"/>
      <c r="T47" s="150"/>
      <c r="U47" s="150"/>
      <c r="V47" s="150"/>
      <c r="W47" s="161"/>
      <c r="X47" s="5"/>
      <c r="Y47" s="5"/>
      <c r="Z47" s="5"/>
      <c r="AA47" s="5"/>
      <c r="AB47" s="5"/>
      <c r="AC47" s="16"/>
      <c r="AD47" s="1"/>
      <c r="AE47" s="1"/>
      <c r="AF47" s="1"/>
      <c r="AG47" s="1"/>
      <c r="AH47" s="1"/>
      <c r="AI47" s="1"/>
      <c r="AJ47" s="4"/>
      <c r="AK47" s="4"/>
      <c r="AL47" s="4"/>
      <c r="AM47" s="4"/>
      <c r="AN47" s="4"/>
      <c r="AO47" s="4"/>
      <c r="AP47" s="4"/>
      <c r="AQ47" s="4"/>
      <c r="AR47" s="4"/>
      <c r="AS47" s="4"/>
      <c r="AT47" s="4"/>
      <c r="AU47" s="4"/>
      <c r="AV47" s="4"/>
      <c r="AW47" s="4"/>
      <c r="AX47" s="4"/>
      <c r="AY47" s="4"/>
      <c r="AZ47" s="4"/>
      <c r="BA47" s="4"/>
      <c r="BB47" s="4"/>
    </row>
    <row r="48" spans="2:54" ht="12.75" customHeight="1">
      <c r="B48" s="54"/>
      <c r="C48" s="34" t="s">
        <v>62</v>
      </c>
      <c r="D48" s="56">
        <f>IF(E9="Yes",($D$47/$E$30)*(($E$29+$E$28+$E$27)/2),($D$47/$E$30)*(($E$29+$E$28)/2))</f>
        <v>75</v>
      </c>
      <c r="E48" s="33" t="s">
        <v>43</v>
      </c>
      <c r="F48" s="96" t="s">
        <v>93</v>
      </c>
      <c r="L48" s="131"/>
      <c r="M48" s="41"/>
      <c r="O48" s="162"/>
      <c r="P48" s="26"/>
      <c r="Q48" s="163"/>
      <c r="R48" s="160"/>
      <c r="S48" s="160"/>
      <c r="T48" s="145"/>
      <c r="U48" s="145"/>
      <c r="V48" s="145"/>
      <c r="W48" s="161"/>
      <c r="X48" s="5"/>
      <c r="Y48" s="5"/>
      <c r="Z48" s="5"/>
      <c r="AA48" s="5"/>
      <c r="AB48" s="5"/>
      <c r="AC48" s="7"/>
      <c r="AD48" s="1"/>
      <c r="AE48" s="1"/>
      <c r="AF48" s="1"/>
      <c r="AG48" s="1"/>
      <c r="AH48" s="1"/>
      <c r="AI48" s="1"/>
      <c r="AJ48" s="4"/>
      <c r="AK48" s="4"/>
      <c r="AL48" s="4"/>
      <c r="AM48" s="4"/>
      <c r="AN48" s="4"/>
      <c r="AO48" s="4"/>
      <c r="AP48" s="4"/>
      <c r="AQ48" s="4"/>
      <c r="AR48" s="4"/>
      <c r="AS48" s="4"/>
      <c r="AT48" s="4"/>
      <c r="AU48" s="4"/>
      <c r="AV48" s="4"/>
      <c r="AW48" s="4"/>
      <c r="AX48" s="4"/>
      <c r="AY48" s="4"/>
      <c r="AZ48" s="4"/>
      <c r="BA48" s="4"/>
      <c r="BB48" s="4"/>
    </row>
    <row r="49" spans="2:54" ht="12.75" customHeight="1">
      <c r="B49" s="54"/>
      <c r="C49" s="35"/>
      <c r="K49" s="164" t="str">
        <f>IF(E29&lt;2*E31+E28,"Increase Lug Height (hₛₗ)","")</f>
        <v/>
      </c>
      <c r="L49" s="131"/>
      <c r="M49" s="40"/>
      <c r="P49" s="1"/>
      <c r="Q49" s="15"/>
      <c r="R49" s="24"/>
      <c r="S49" s="20"/>
      <c r="T49" s="5"/>
      <c r="U49" s="5"/>
      <c r="V49" s="5"/>
      <c r="W49" s="5"/>
      <c r="X49" s="5"/>
      <c r="Y49" s="5"/>
      <c r="Z49" s="5"/>
      <c r="AA49" s="5"/>
      <c r="AB49" s="5"/>
      <c r="AC49" s="7"/>
      <c r="AD49" s="1"/>
      <c r="AE49" s="1"/>
      <c r="AF49" s="1"/>
      <c r="AG49" s="1"/>
      <c r="AH49" s="1"/>
      <c r="AI49" s="1"/>
      <c r="AJ49" s="4"/>
      <c r="AK49" s="4"/>
      <c r="AL49" s="4"/>
      <c r="AM49" s="4"/>
      <c r="AN49" s="4"/>
      <c r="AO49" s="4"/>
      <c r="AP49" s="4"/>
      <c r="AQ49" s="4"/>
      <c r="AR49" s="4"/>
      <c r="AS49" s="4"/>
      <c r="AT49" s="4"/>
      <c r="AU49" s="4"/>
      <c r="AV49" s="4"/>
      <c r="AW49" s="4"/>
      <c r="AX49" s="4"/>
      <c r="AY49" s="4"/>
      <c r="AZ49" s="4"/>
      <c r="BA49" s="4"/>
      <c r="BB49" s="4"/>
    </row>
    <row r="50" spans="2:54" ht="12.75" customHeight="1">
      <c r="B50" s="54"/>
      <c r="C50" s="75" t="s">
        <v>44</v>
      </c>
      <c r="K50" s="32"/>
      <c r="L50" s="131"/>
      <c r="M50" s="40"/>
      <c r="P50" s="1"/>
      <c r="Q50" s="15"/>
      <c r="R50" s="24"/>
      <c r="S50" s="20"/>
      <c r="T50" s="5"/>
      <c r="U50" s="5"/>
      <c r="V50" s="5"/>
      <c r="W50" s="5"/>
      <c r="X50" s="5"/>
      <c r="Y50" s="5"/>
      <c r="Z50" s="5"/>
      <c r="AA50" s="5"/>
      <c r="AB50" s="5"/>
      <c r="AC50" s="5"/>
      <c r="AD50" s="1"/>
      <c r="AE50" s="1"/>
      <c r="AF50" s="1"/>
      <c r="AG50" s="1"/>
      <c r="AH50" s="1"/>
      <c r="AI50" s="1"/>
      <c r="AJ50" s="4"/>
      <c r="AK50" s="4"/>
      <c r="AL50" s="4"/>
      <c r="AM50" s="4"/>
      <c r="AN50" s="4"/>
      <c r="AO50" s="4"/>
      <c r="AP50" s="4"/>
      <c r="AQ50" s="4"/>
      <c r="AR50" s="4"/>
      <c r="AS50" s="4"/>
      <c r="AT50" s="4"/>
      <c r="AU50" s="4"/>
      <c r="AV50" s="4"/>
      <c r="AW50" s="4"/>
      <c r="AX50" s="4"/>
      <c r="AY50" s="4"/>
      <c r="AZ50" s="4"/>
      <c r="BA50" s="4"/>
      <c r="BB50" s="4"/>
    </row>
    <row r="51" spans="2:54" ht="12.75" customHeight="1">
      <c r="B51" s="54"/>
      <c r="C51" s="36" t="s">
        <v>63</v>
      </c>
      <c r="D51" s="97">
        <f>SQRT((4*$D$48*1000)/(0.9*$E$12))</f>
        <v>31.08349360801046</v>
      </c>
      <c r="E51" s="87" t="s">
        <v>4</v>
      </c>
      <c r="F51" s="98" t="s">
        <v>92</v>
      </c>
      <c r="L51" s="165" t="str">
        <f>IF($D$47=0,"",IF(D51&lt;=$E$31,"t(req'd) &lt; t, O.k.","t(req'd) &gt; t"))</f>
        <v>t(req'd) &lt; t, O.k.</v>
      </c>
      <c r="M51" s="40"/>
      <c r="P51" s="1"/>
      <c r="Q51" s="15"/>
      <c r="R51" s="24"/>
      <c r="S51" s="20"/>
      <c r="T51" s="5"/>
      <c r="U51" s="5"/>
      <c r="V51" s="5"/>
      <c r="W51" s="5"/>
      <c r="X51" s="5"/>
      <c r="Y51" s="5"/>
      <c r="Z51" s="5"/>
      <c r="AA51" s="5"/>
      <c r="AB51" s="5"/>
      <c r="AC51" s="5"/>
      <c r="AD51" s="1"/>
      <c r="AE51" s="1"/>
      <c r="AF51" s="1"/>
      <c r="AG51" s="1"/>
      <c r="AH51" s="1"/>
      <c r="AI51" s="1"/>
      <c r="AJ51" s="4"/>
      <c r="AK51" s="4"/>
      <c r="AL51" s="4"/>
      <c r="AM51" s="4"/>
      <c r="AN51" s="4"/>
      <c r="AO51" s="4"/>
      <c r="AP51" s="4"/>
      <c r="AQ51" s="4"/>
      <c r="AR51" s="4"/>
      <c r="AS51" s="4"/>
      <c r="AT51" s="4"/>
      <c r="AU51" s="4"/>
      <c r="AV51" s="4"/>
      <c r="AW51" s="4"/>
      <c r="AX51" s="4"/>
      <c r="AY51" s="4"/>
      <c r="AZ51" s="4"/>
      <c r="BA51" s="4"/>
      <c r="BB51" s="4"/>
    </row>
    <row r="52" spans="2:54" ht="12.75" customHeight="1">
      <c r="B52" s="54"/>
      <c r="K52" s="33"/>
      <c r="L52" s="131"/>
      <c r="M52" s="41"/>
      <c r="P52" s="1"/>
      <c r="Q52" s="15"/>
      <c r="R52" s="24"/>
      <c r="S52" s="20"/>
      <c r="T52" s="5"/>
      <c r="U52" s="5"/>
      <c r="V52" s="5"/>
      <c r="W52" s="5"/>
      <c r="X52" s="5"/>
      <c r="Y52" s="5"/>
      <c r="Z52" s="5"/>
      <c r="AA52" s="5"/>
      <c r="AB52" s="5"/>
      <c r="AC52" s="5"/>
      <c r="AD52" s="1"/>
      <c r="AE52" s="1"/>
      <c r="AF52" s="1"/>
      <c r="AG52" s="1"/>
      <c r="AH52" s="1"/>
      <c r="AI52" s="1"/>
      <c r="AJ52" s="4"/>
      <c r="AK52" s="4"/>
      <c r="AL52" s="4"/>
      <c r="AM52" s="4"/>
      <c r="AN52" s="4"/>
      <c r="AO52" s="4"/>
      <c r="AP52" s="4"/>
      <c r="AQ52" s="4"/>
      <c r="AR52" s="4"/>
      <c r="AS52" s="4"/>
      <c r="AT52" s="4"/>
      <c r="AU52" s="4"/>
      <c r="AV52" s="4"/>
      <c r="AW52" s="4"/>
      <c r="AX52" s="4"/>
      <c r="AY52" s="4"/>
      <c r="AZ52" s="4"/>
      <c r="BA52" s="4"/>
      <c r="BB52" s="4"/>
    </row>
    <row r="53" spans="2:54" ht="12.75" customHeight="1">
      <c r="B53" s="54"/>
      <c r="C53" s="75" t="s">
        <v>45</v>
      </c>
      <c r="K53" s="33"/>
      <c r="L53" s="131"/>
      <c r="M53" s="41"/>
      <c r="P53" s="1"/>
      <c r="Q53" s="15"/>
      <c r="R53" s="24"/>
      <c r="S53" s="20"/>
      <c r="T53" s="5"/>
      <c r="U53" s="5"/>
      <c r="V53" s="5"/>
      <c r="W53" s="5"/>
      <c r="X53" s="5"/>
      <c r="Y53" s="5"/>
      <c r="Z53" s="5"/>
      <c r="AA53" s="5"/>
      <c r="AB53" s="5"/>
      <c r="AC53" s="5"/>
      <c r="AD53" s="1"/>
      <c r="AE53" s="1"/>
      <c r="AF53" s="1"/>
      <c r="AG53" s="1"/>
      <c r="AH53" s="1"/>
      <c r="AI53" s="1"/>
      <c r="AJ53" s="4"/>
      <c r="AK53" s="4"/>
      <c r="AL53" s="4"/>
      <c r="AM53" s="4"/>
      <c r="AN53" s="4"/>
      <c r="AO53" s="4"/>
      <c r="AP53" s="4"/>
      <c r="AQ53" s="4"/>
      <c r="AR53" s="4"/>
      <c r="AS53" s="4"/>
      <c r="AT53" s="4"/>
      <c r="AU53" s="4"/>
      <c r="AV53" s="4"/>
      <c r="AW53" s="4"/>
      <c r="AX53" s="4"/>
      <c r="AY53" s="4"/>
      <c r="AZ53" s="4"/>
      <c r="BA53" s="4"/>
      <c r="BB53" s="4"/>
    </row>
    <row r="54" spans="2:54" ht="12.75" customHeight="1">
      <c r="B54" s="54"/>
      <c r="C54" s="36" t="s">
        <v>46</v>
      </c>
      <c r="D54" s="97">
        <f>IF($D$47=0,"N.A.",$E$31+2*(1/3)*$E$17)</f>
        <v>56.666666666666664</v>
      </c>
      <c r="E54" s="91" t="s">
        <v>4</v>
      </c>
      <c r="F54" s="99" t="s">
        <v>91</v>
      </c>
      <c r="L54" s="131"/>
      <c r="M54" s="41"/>
      <c r="P54" s="21"/>
      <c r="Q54" s="163"/>
      <c r="R54" s="160"/>
      <c r="S54" s="166"/>
      <c r="T54" s="167"/>
      <c r="U54" s="167"/>
      <c r="V54" s="168"/>
      <c r="W54" s="161"/>
      <c r="X54" s="5"/>
      <c r="Y54" s="5"/>
      <c r="Z54" s="5"/>
      <c r="AA54" s="5"/>
      <c r="AB54" s="5"/>
      <c r="AC54" s="5"/>
      <c r="AD54" s="1"/>
      <c r="AE54" s="1"/>
      <c r="AF54" s="1"/>
      <c r="AG54" s="1"/>
      <c r="AH54" s="1"/>
      <c r="AI54" s="1"/>
      <c r="AJ54" s="4"/>
      <c r="AK54" s="4"/>
      <c r="AL54" s="4"/>
      <c r="AM54" s="4"/>
      <c r="AN54" s="4"/>
      <c r="AO54" s="4"/>
      <c r="AP54" s="4"/>
      <c r="AQ54" s="4"/>
      <c r="AR54" s="4"/>
      <c r="AS54" s="4"/>
      <c r="AT54" s="4"/>
      <c r="AU54" s="4"/>
      <c r="AV54" s="4"/>
      <c r="AW54" s="4"/>
      <c r="AX54" s="4"/>
      <c r="AY54" s="4"/>
      <c r="AZ54" s="4"/>
      <c r="BA54" s="4"/>
      <c r="BB54" s="4"/>
    </row>
    <row r="55" spans="2:54" ht="12.75" customHeight="1">
      <c r="B55" s="54"/>
      <c r="C55" s="36" t="s">
        <v>47</v>
      </c>
      <c r="D55" s="56">
        <f>IF($D$47=0,"N.A.",SQRT(($D$48*1000/$D$54)^2+($D$47*1000/(2*$E$30))^2))</f>
        <v>1357.1035715103797</v>
      </c>
      <c r="E55" s="91" t="s">
        <v>48</v>
      </c>
      <c r="F55" s="96" t="s">
        <v>90</v>
      </c>
      <c r="J55" s="168"/>
      <c r="K55" s="33"/>
      <c r="L55" s="131"/>
      <c r="M55" s="41"/>
      <c r="P55" s="1"/>
      <c r="Q55" s="15"/>
      <c r="R55" s="24"/>
      <c r="S55" s="20"/>
      <c r="T55" s="5"/>
      <c r="U55" s="5"/>
      <c r="V55" s="5"/>
      <c r="W55" s="5"/>
      <c r="X55" s="5"/>
      <c r="Y55" s="5"/>
      <c r="Z55" s="5"/>
      <c r="AA55" s="5"/>
      <c r="AB55" s="5"/>
      <c r="AC55" s="5"/>
      <c r="AD55" s="1"/>
      <c r="AE55" s="1"/>
      <c r="AF55" s="1"/>
      <c r="AG55" s="1"/>
      <c r="AH55" s="1"/>
      <c r="AI55" s="1"/>
      <c r="AJ55" s="4"/>
      <c r="AK55" s="4"/>
      <c r="AL55" s="4"/>
      <c r="AM55" s="4"/>
      <c r="AN55" s="4"/>
      <c r="AO55" s="4"/>
      <c r="AP55" s="4"/>
      <c r="AQ55" s="4"/>
      <c r="AR55" s="4"/>
      <c r="AS55" s="4"/>
      <c r="AT55" s="4"/>
      <c r="AU55" s="4"/>
      <c r="AV55" s="4"/>
      <c r="AW55" s="4"/>
      <c r="AX55" s="4"/>
      <c r="AY55" s="4"/>
      <c r="AZ55" s="4"/>
      <c r="BA55" s="4"/>
      <c r="BB55" s="4"/>
    </row>
    <row r="56" spans="2:54" ht="12.75" customHeight="1">
      <c r="B56" s="54"/>
      <c r="C56" s="37" t="s">
        <v>49</v>
      </c>
      <c r="D56" s="97">
        <f>IF($D$47=0,"N.A.",IF(E16="Yes","CJP",$D$55/(0.707*0.75*0.6*6.89*$E$15)))</f>
        <v>8.8443068924730674</v>
      </c>
      <c r="E56" s="91" t="str">
        <f>IF(E16="Yes","","mm")</f>
        <v>mm</v>
      </c>
      <c r="F56" s="99" t="str">
        <f>IF(E16="Yes","","= R𝘸 / (0.6 ϕ √2/2 FEₓₓ)")</f>
        <v>= R𝘸 / (0.6 ϕ √2/2 FEₓₓ)</v>
      </c>
      <c r="L56" s="165" t="str">
        <f>IF($D$47=0,"",IF($E$17&gt;=D56,"ω &gt; ω(req'd), O.k.","ω &lt; ω(req'd)"))</f>
        <v>ω &gt; ω(req'd), O.k.</v>
      </c>
      <c r="M56" s="100"/>
      <c r="P56" s="1"/>
      <c r="Q56" s="15"/>
      <c r="R56" s="24"/>
      <c r="S56" s="20"/>
      <c r="T56" s="5"/>
      <c r="U56" s="5"/>
      <c r="V56" s="5"/>
      <c r="W56" s="5"/>
      <c r="X56" s="5"/>
      <c r="Y56" s="5"/>
      <c r="Z56" s="5"/>
      <c r="AA56" s="5"/>
      <c r="AB56" s="5"/>
      <c r="AC56" s="5"/>
      <c r="AD56" s="1"/>
      <c r="AE56" s="1"/>
      <c r="AF56" s="1"/>
      <c r="AG56" s="1"/>
      <c r="AH56" s="1"/>
      <c r="AI56" s="1"/>
      <c r="AJ56" s="4"/>
      <c r="AK56" s="4"/>
      <c r="AL56" s="4"/>
      <c r="AM56" s="4"/>
      <c r="AN56" s="4"/>
      <c r="AO56" s="4"/>
      <c r="AP56" s="4"/>
      <c r="AQ56" s="4"/>
      <c r="AR56" s="4"/>
      <c r="AS56" s="4"/>
      <c r="AT56" s="4"/>
      <c r="AU56" s="4"/>
      <c r="AV56" s="4"/>
      <c r="AW56" s="4"/>
      <c r="AX56" s="4"/>
      <c r="AY56" s="4"/>
      <c r="AZ56" s="4"/>
      <c r="BA56" s="4"/>
      <c r="BB56" s="4"/>
    </row>
    <row r="57" spans="2:54" ht="12.75" customHeight="1">
      <c r="B57" s="54"/>
      <c r="L57" s="131"/>
      <c r="M57" s="41"/>
      <c r="P57" s="1"/>
      <c r="Q57" s="15"/>
      <c r="R57" s="24"/>
      <c r="S57" s="20"/>
      <c r="T57" s="5"/>
      <c r="U57" s="5"/>
      <c r="V57" s="5"/>
      <c r="W57" s="5"/>
      <c r="X57" s="5"/>
      <c r="Y57" s="5"/>
      <c r="Z57" s="5"/>
      <c r="AA57" s="5"/>
      <c r="AB57" s="5"/>
      <c r="AC57" s="5"/>
      <c r="AD57" s="1"/>
      <c r="AE57" s="1"/>
      <c r="AF57" s="1"/>
      <c r="AG57" s="1"/>
      <c r="AH57" s="1"/>
      <c r="AI57" s="1"/>
      <c r="AJ57" s="4"/>
      <c r="AK57" s="4"/>
      <c r="AL57" s="4"/>
      <c r="AM57" s="4"/>
      <c r="AN57" s="4"/>
      <c r="AO57" s="4"/>
      <c r="AP57" s="4"/>
      <c r="AQ57" s="4"/>
      <c r="AR57" s="4"/>
      <c r="AS57" s="4"/>
      <c r="AT57" s="4"/>
      <c r="AU57" s="4"/>
      <c r="AV57" s="4"/>
      <c r="AW57" s="4"/>
      <c r="AX57" s="4"/>
      <c r="AY57" s="4"/>
      <c r="AZ57" s="4"/>
      <c r="BA57" s="4"/>
      <c r="BB57" s="4"/>
    </row>
    <row r="58" spans="2:54" ht="12.75" customHeight="1">
      <c r="B58" s="54"/>
      <c r="C58" s="75" t="s">
        <v>32</v>
      </c>
      <c r="L58" s="169"/>
      <c r="M58" s="100"/>
      <c r="P58" s="1"/>
      <c r="Q58" s="15"/>
      <c r="R58" s="24"/>
      <c r="S58" s="20"/>
      <c r="T58" s="5"/>
      <c r="U58" s="5"/>
      <c r="V58" s="5"/>
      <c r="W58" s="5"/>
      <c r="X58" s="5"/>
      <c r="Y58" s="5"/>
      <c r="Z58" s="5"/>
      <c r="AA58" s="5"/>
      <c r="AB58" s="5"/>
      <c r="AC58" s="5"/>
      <c r="AD58" s="1"/>
      <c r="AE58" s="1"/>
      <c r="AF58" s="1"/>
      <c r="AG58" s="1"/>
      <c r="AH58" s="1"/>
      <c r="AI58" s="1"/>
      <c r="AJ58" s="4"/>
      <c r="AK58" s="4"/>
      <c r="AL58" s="4"/>
      <c r="AM58" s="4"/>
      <c r="AN58" s="4"/>
      <c r="AO58" s="4"/>
      <c r="AP58" s="4"/>
      <c r="AQ58" s="4"/>
      <c r="AR58" s="4"/>
      <c r="AS58" s="4"/>
      <c r="AT58" s="4"/>
      <c r="AU58" s="4"/>
      <c r="AV58" s="4"/>
      <c r="AW58" s="4"/>
      <c r="AX58" s="4"/>
      <c r="AY58" s="4"/>
      <c r="AZ58" s="4"/>
      <c r="BA58" s="4"/>
      <c r="BB58" s="4"/>
    </row>
    <row r="59" spans="2:54" ht="12.75" customHeight="1">
      <c r="B59" s="54"/>
      <c r="C59" s="170" t="s">
        <v>17</v>
      </c>
      <c r="D59" s="67">
        <v>0.65</v>
      </c>
      <c r="L59" s="169" t="s">
        <v>50</v>
      </c>
      <c r="M59" s="41"/>
      <c r="P59" s="1"/>
      <c r="Q59" s="15"/>
      <c r="R59" s="24"/>
      <c r="S59" s="20"/>
      <c r="T59" s="5"/>
      <c r="U59" s="5"/>
      <c r="V59" s="5"/>
      <c r="W59" s="5"/>
      <c r="X59" s="5"/>
      <c r="Y59" s="5"/>
      <c r="Z59" s="5"/>
      <c r="AA59" s="5"/>
      <c r="AB59" s="5"/>
      <c r="AC59" s="5"/>
      <c r="AD59" s="1"/>
      <c r="AE59" s="1"/>
      <c r="AF59" s="1"/>
      <c r="AG59" s="1"/>
      <c r="AH59" s="1"/>
      <c r="AI59" s="1"/>
      <c r="AJ59" s="4"/>
      <c r="AK59" s="4"/>
      <c r="AL59" s="4"/>
      <c r="AM59" s="4"/>
      <c r="AN59" s="4"/>
      <c r="AO59" s="4"/>
      <c r="AP59" s="4"/>
      <c r="AQ59" s="4"/>
      <c r="AR59" s="4"/>
      <c r="AS59" s="4"/>
      <c r="AT59" s="4"/>
      <c r="AU59" s="4"/>
      <c r="AV59" s="4"/>
      <c r="AW59" s="4"/>
      <c r="AX59" s="4"/>
      <c r="AY59" s="4"/>
      <c r="AZ59" s="4"/>
      <c r="BA59" s="4"/>
      <c r="BB59" s="4"/>
    </row>
    <row r="60" spans="2:54" ht="12.75" customHeight="1">
      <c r="B60" s="54"/>
      <c r="C60" s="162" t="s">
        <v>51</v>
      </c>
      <c r="D60" s="69">
        <f>MIN(E29-E28,2*E31)*E30</f>
        <v>50000</v>
      </c>
      <c r="E60" s="163" t="s">
        <v>5</v>
      </c>
      <c r="F60" s="171" t="s">
        <v>113</v>
      </c>
      <c r="G60" s="160"/>
      <c r="H60" s="145"/>
      <c r="I60" s="145"/>
      <c r="J60" s="168"/>
      <c r="L60" s="169" t="s">
        <v>115</v>
      </c>
      <c r="M60" s="41"/>
      <c r="P60" s="1"/>
      <c r="Q60" s="15"/>
      <c r="R60" s="24"/>
      <c r="S60" s="20"/>
      <c r="T60" s="5"/>
      <c r="U60" s="5"/>
      <c r="V60" s="5"/>
      <c r="W60" s="5"/>
      <c r="X60" s="5"/>
      <c r="Y60" s="5"/>
      <c r="Z60" s="5"/>
      <c r="AA60" s="5"/>
      <c r="AB60" s="5"/>
      <c r="AC60" s="5"/>
      <c r="AD60" s="1"/>
      <c r="AE60" s="1"/>
      <c r="AF60" s="1"/>
      <c r="AG60" s="1"/>
      <c r="AH60" s="1"/>
      <c r="AI60" s="1"/>
      <c r="AJ60" s="4"/>
      <c r="AK60" s="4"/>
      <c r="AL60" s="4"/>
      <c r="AM60" s="4"/>
      <c r="AN60" s="4"/>
      <c r="AO60" s="4"/>
      <c r="AP60" s="4"/>
      <c r="AQ60" s="4"/>
      <c r="AR60" s="4"/>
      <c r="AS60" s="4"/>
      <c r="AT60" s="4"/>
      <c r="AU60" s="4"/>
      <c r="AV60" s="4"/>
      <c r="AW60" s="4"/>
      <c r="AX60" s="4"/>
      <c r="AY60" s="4"/>
      <c r="AZ60" s="4"/>
      <c r="BA60" s="4"/>
      <c r="BB60" s="4"/>
    </row>
    <row r="61" spans="2:54" ht="12.75" customHeight="1">
      <c r="B61" s="54"/>
      <c r="C61" s="34" t="s">
        <v>87</v>
      </c>
      <c r="D61" s="70">
        <f>IF(E7&gt;0,MAX(0,1-E7*1000/(E34*E37*IF(E35="Headed Stud",VLOOKUP(E36,P8:Q14,2),VLOOKUP(E36,P22:Q42,2)))),IF(E7&lt;0,MIN(2,1-4*E7/(E24*E23*E13/1000)),1))</f>
        <v>1.1731601731601731</v>
      </c>
      <c r="F61" s="4" t="str">
        <f>IF(E7&gt;0,"= 1 - P𝘶𝘻/(nN𝘴𝘢) ≤ 1.0",IF(E7&lt;0,"= 1 + 4P𝘶𝘻/(N B f '𝘤) ≤ 2.0",1))</f>
        <v>= 1 + 4P𝘶𝘻/(N B f '𝘤) ≤ 2.0</v>
      </c>
      <c r="L61" s="169" t="str">
        <f>IF(E7&gt;0,"17.11.2.2.1a",IF(E7&lt;0,"17.11.2.2.1c","17.11.2.2.1b"))</f>
        <v>17.11.2.2.1c</v>
      </c>
      <c r="M61" s="41"/>
      <c r="P61" s="1"/>
      <c r="Q61" s="15"/>
      <c r="R61" s="24"/>
      <c r="S61" s="20"/>
      <c r="T61" s="5"/>
      <c r="U61" s="5"/>
      <c r="V61" s="5"/>
      <c r="W61" s="5"/>
      <c r="X61" s="5"/>
      <c r="Y61" s="5"/>
      <c r="Z61" s="5"/>
      <c r="AA61" s="5"/>
      <c r="AB61" s="5"/>
      <c r="AC61" s="5"/>
      <c r="AD61" s="1"/>
      <c r="AE61" s="1"/>
      <c r="AF61" s="1"/>
      <c r="AG61" s="1"/>
      <c r="AH61" s="1"/>
      <c r="AI61" s="1"/>
      <c r="AJ61" s="4"/>
      <c r="AK61" s="4"/>
      <c r="AL61" s="4"/>
      <c r="AM61" s="4"/>
      <c r="AN61" s="4"/>
      <c r="AO61" s="4"/>
      <c r="AP61" s="4"/>
      <c r="AQ61" s="4"/>
      <c r="AR61" s="4"/>
      <c r="AS61" s="4"/>
      <c r="AT61" s="4"/>
      <c r="AU61" s="4"/>
      <c r="AV61" s="4"/>
      <c r="AW61" s="4"/>
      <c r="AX61" s="4"/>
      <c r="AY61" s="4"/>
      <c r="AZ61" s="4"/>
      <c r="BA61" s="4"/>
      <c r="BB61" s="4"/>
    </row>
    <row r="62" spans="2:54" ht="12.75" customHeight="1">
      <c r="B62" s="54"/>
      <c r="C62" s="162" t="s">
        <v>52</v>
      </c>
      <c r="D62" s="56">
        <f>D59*1.7*E13*D60/1000*D61</f>
        <v>1814.8787878787878</v>
      </c>
      <c r="E62" s="33" t="s">
        <v>3</v>
      </c>
      <c r="F62" s="171" t="s">
        <v>114</v>
      </c>
      <c r="L62" s="169" t="s">
        <v>53</v>
      </c>
      <c r="M62" s="41"/>
      <c r="O62" s="172"/>
      <c r="P62" s="1"/>
      <c r="Q62" s="15"/>
      <c r="R62" s="24"/>
      <c r="S62" s="20"/>
      <c r="T62" s="5"/>
      <c r="U62" s="5"/>
      <c r="V62" s="5"/>
      <c r="W62" s="5"/>
      <c r="X62" s="5"/>
      <c r="Y62" s="5"/>
      <c r="Z62" s="5"/>
      <c r="AA62" s="5"/>
      <c r="AB62" s="5"/>
      <c r="AC62" s="7"/>
      <c r="AI62" s="4"/>
      <c r="AJ62" s="4"/>
      <c r="AK62" s="4"/>
      <c r="AL62" s="4"/>
      <c r="AM62" s="4"/>
      <c r="AN62" s="4"/>
      <c r="AO62" s="4"/>
      <c r="AP62" s="4"/>
      <c r="AQ62" s="4"/>
      <c r="AR62" s="4"/>
      <c r="AS62" s="4"/>
      <c r="AT62" s="4"/>
      <c r="AU62" s="4"/>
      <c r="AV62" s="4"/>
      <c r="AW62" s="4"/>
      <c r="AX62" s="4"/>
      <c r="AY62" s="4"/>
      <c r="AZ62" s="4"/>
      <c r="BA62" s="4"/>
      <c r="BB62" s="4"/>
    </row>
    <row r="63" spans="2:54" ht="12.75" customHeight="1">
      <c r="B63" s="54"/>
      <c r="I63" s="145"/>
      <c r="J63" s="145"/>
      <c r="L63" s="165" t="str">
        <f>IF($D$47=0,"",IF(D47&lt;=$D$62,"Vbrg &gt; Vu, O.k.","Vbrg &lt; Vu"))</f>
        <v>Vbrg &gt; Vu, O.k.</v>
      </c>
      <c r="M63" s="41"/>
      <c r="O63" s="172"/>
      <c r="P63" s="1"/>
      <c r="Q63" s="15"/>
      <c r="R63" s="24"/>
      <c r="S63" s="20"/>
      <c r="T63" s="5"/>
      <c r="U63" s="5"/>
      <c r="V63" s="5"/>
      <c r="W63" s="5"/>
      <c r="X63" s="5"/>
      <c r="Y63" s="5"/>
      <c r="Z63" s="5"/>
      <c r="AA63" s="5"/>
      <c r="AB63" s="5"/>
      <c r="AC63" s="5"/>
      <c r="AI63" s="4"/>
      <c r="AJ63" s="4"/>
      <c r="AK63" s="4"/>
      <c r="AL63" s="4"/>
      <c r="AM63" s="4"/>
      <c r="AN63" s="4"/>
      <c r="AO63" s="4"/>
      <c r="AP63" s="4"/>
      <c r="AQ63" s="4"/>
      <c r="AR63" s="4"/>
      <c r="AS63" s="4"/>
      <c r="AT63" s="4"/>
      <c r="AU63" s="4"/>
      <c r="AV63" s="4"/>
      <c r="AW63" s="4"/>
      <c r="AX63" s="4"/>
      <c r="AY63" s="4"/>
      <c r="AZ63" s="4"/>
      <c r="BA63" s="4"/>
      <c r="BB63" s="4"/>
    </row>
    <row r="64" spans="2:54" ht="12.75" customHeight="1">
      <c r="B64" s="54"/>
      <c r="C64" s="75" t="s">
        <v>95</v>
      </c>
      <c r="I64" s="167"/>
      <c r="J64" s="167"/>
      <c r="L64" s="131"/>
      <c r="M64" s="41"/>
      <c r="O64" s="172"/>
      <c r="P64" s="1"/>
      <c r="Q64" s="15"/>
      <c r="R64" s="24"/>
      <c r="S64" s="20"/>
      <c r="T64" s="5"/>
      <c r="U64" s="5"/>
      <c r="V64" s="5"/>
      <c r="W64" s="5"/>
      <c r="X64" s="5"/>
      <c r="Y64" s="5"/>
      <c r="Z64" s="5"/>
      <c r="AA64" s="5"/>
      <c r="AB64" s="5"/>
      <c r="AC64" s="5"/>
      <c r="AI64" s="4"/>
      <c r="AJ64" s="4"/>
      <c r="AK64" s="4"/>
      <c r="AL64" s="4"/>
      <c r="AM64" s="4"/>
      <c r="AN64" s="4"/>
      <c r="AO64" s="4"/>
      <c r="AP64" s="4"/>
      <c r="AQ64" s="4"/>
      <c r="AR64" s="4"/>
      <c r="AS64" s="4"/>
      <c r="AT64" s="4"/>
      <c r="AU64" s="4"/>
      <c r="AV64" s="4"/>
      <c r="AW64" s="4"/>
      <c r="AX64" s="4"/>
      <c r="AY64" s="4"/>
      <c r="AZ64" s="4"/>
      <c r="BA64" s="4"/>
      <c r="BB64" s="4"/>
    </row>
    <row r="65" spans="2:54" ht="12.75" customHeight="1">
      <c r="B65" s="54"/>
      <c r="C65" s="173" t="s">
        <v>121</v>
      </c>
      <c r="D65" s="67">
        <f>IF(E41="Yes",1,0.95)*0.65</f>
        <v>0.65</v>
      </c>
      <c r="E65" s="163"/>
      <c r="F65" s="145"/>
      <c r="G65" s="145"/>
      <c r="H65" s="145"/>
      <c r="L65" s="169" t="s">
        <v>54</v>
      </c>
      <c r="M65" s="41"/>
      <c r="O65" s="162"/>
      <c r="P65" s="1"/>
      <c r="Q65" s="15"/>
      <c r="R65" s="24"/>
      <c r="S65" s="20"/>
      <c r="T65" s="5"/>
      <c r="U65" s="5"/>
      <c r="V65" s="5"/>
      <c r="W65" s="5"/>
      <c r="X65" s="5"/>
      <c r="Y65" s="5"/>
      <c r="Z65" s="5"/>
      <c r="AA65" s="5"/>
      <c r="AB65" s="5"/>
      <c r="AC65" s="5"/>
      <c r="AI65" s="4"/>
      <c r="AJ65" s="4"/>
      <c r="AK65" s="4"/>
      <c r="AL65" s="4"/>
      <c r="AM65" s="4"/>
      <c r="AN65" s="4"/>
      <c r="AO65" s="4"/>
      <c r="AP65" s="4"/>
      <c r="AQ65" s="4"/>
      <c r="AR65" s="4"/>
      <c r="AS65" s="4"/>
      <c r="AT65" s="4"/>
      <c r="AU65" s="4"/>
      <c r="AV65" s="4"/>
      <c r="AW65" s="4"/>
      <c r="AX65" s="4"/>
      <c r="AY65" s="4"/>
      <c r="AZ65" s="4"/>
      <c r="BA65" s="4"/>
      <c r="BB65" s="4"/>
    </row>
    <row r="66" spans="2:54" ht="12.75" customHeight="1">
      <c r="B66" s="54"/>
      <c r="C66" s="162" t="s">
        <v>16</v>
      </c>
      <c r="D66" s="130">
        <f>E20</f>
        <v>600</v>
      </c>
      <c r="E66" s="163" t="s">
        <v>4</v>
      </c>
      <c r="F66" s="129" t="s">
        <v>108</v>
      </c>
      <c r="G66" s="150"/>
      <c r="H66" s="150"/>
      <c r="J66" s="168"/>
      <c r="L66" s="169" t="s">
        <v>54</v>
      </c>
      <c r="M66" s="41"/>
      <c r="O66" s="162"/>
      <c r="P66" s="1"/>
      <c r="Q66" s="15"/>
      <c r="R66" s="24"/>
      <c r="S66" s="20"/>
      <c r="T66" s="5"/>
      <c r="U66" s="5"/>
      <c r="V66" s="5"/>
      <c r="W66" s="5"/>
      <c r="X66" s="5"/>
      <c r="Y66" s="5"/>
      <c r="Z66" s="5"/>
      <c r="AA66" s="5"/>
      <c r="AB66" s="5"/>
      <c r="AC66" s="5"/>
      <c r="AI66" s="4"/>
      <c r="AJ66" s="4"/>
      <c r="AK66" s="4"/>
      <c r="AL66" s="4"/>
      <c r="AM66" s="4"/>
      <c r="AN66" s="4"/>
      <c r="AO66" s="4"/>
      <c r="AP66" s="4"/>
      <c r="AQ66" s="4"/>
      <c r="AR66" s="4"/>
      <c r="AS66" s="4"/>
      <c r="AT66" s="4"/>
      <c r="AU66" s="4"/>
      <c r="AV66" s="4"/>
      <c r="AW66" s="4"/>
      <c r="AX66" s="4"/>
      <c r="AY66" s="4"/>
      <c r="AZ66" s="4"/>
      <c r="BA66" s="4"/>
      <c r="BB66" s="4"/>
    </row>
    <row r="67" spans="2:54" ht="12.75" customHeight="1">
      <c r="B67" s="54"/>
      <c r="C67" s="90" t="s">
        <v>109</v>
      </c>
      <c r="D67" s="130">
        <f>MIN(1.5*D66+E30/2,E21)</f>
        <v>500</v>
      </c>
      <c r="E67" s="163" t="s">
        <v>4</v>
      </c>
      <c r="F67" s="174" t="s">
        <v>112</v>
      </c>
      <c r="L67" s="131"/>
      <c r="M67" s="41"/>
      <c r="O67" s="172"/>
      <c r="Y67" s="5"/>
      <c r="Z67" s="5"/>
      <c r="AA67" s="5"/>
      <c r="AB67" s="5"/>
      <c r="AC67" s="16"/>
      <c r="AI67" s="4"/>
      <c r="AJ67" s="4"/>
      <c r="AK67" s="4"/>
      <c r="AL67" s="4"/>
      <c r="AM67" s="4"/>
      <c r="AN67" s="4"/>
      <c r="AO67" s="4"/>
      <c r="AP67" s="4"/>
      <c r="AQ67" s="4"/>
      <c r="AR67" s="4"/>
      <c r="AS67" s="4"/>
      <c r="AT67" s="4"/>
      <c r="AU67" s="4"/>
      <c r="AV67" s="4"/>
      <c r="AW67" s="4"/>
      <c r="AX67" s="4"/>
      <c r="AY67" s="4"/>
      <c r="AZ67" s="4"/>
      <c r="BA67" s="4"/>
      <c r="BB67" s="4"/>
    </row>
    <row r="68" spans="2:54" ht="12.75" customHeight="1">
      <c r="B68" s="54"/>
      <c r="C68" s="90" t="s">
        <v>110</v>
      </c>
      <c r="D68" s="130">
        <f>MIN(1.5*D66+E30/2,E22)</f>
        <v>500</v>
      </c>
      <c r="E68" s="163" t="s">
        <v>4</v>
      </c>
      <c r="F68" s="174" t="s">
        <v>111</v>
      </c>
      <c r="L68" s="131"/>
      <c r="M68" s="41"/>
      <c r="Y68" s="5"/>
      <c r="Z68" s="5"/>
      <c r="AA68" s="5"/>
      <c r="AB68" s="5"/>
      <c r="AI68" s="4"/>
      <c r="AJ68" s="4"/>
      <c r="AK68" s="4"/>
      <c r="AL68" s="4"/>
      <c r="AM68" s="4"/>
      <c r="AN68" s="4"/>
      <c r="AO68" s="4"/>
      <c r="AP68" s="4"/>
      <c r="AQ68" s="4"/>
      <c r="AR68" s="4"/>
      <c r="AS68" s="4"/>
      <c r="AT68" s="4"/>
      <c r="AU68" s="4"/>
      <c r="AV68" s="4"/>
      <c r="AW68" s="4"/>
      <c r="AX68" s="4"/>
      <c r="AY68" s="4"/>
      <c r="AZ68" s="4"/>
      <c r="BA68" s="4"/>
      <c r="BB68" s="4"/>
    </row>
    <row r="69" spans="2:54" ht="12.75" customHeight="1">
      <c r="B69" s="54"/>
      <c r="C69" s="162" t="s">
        <v>18</v>
      </c>
      <c r="D69" s="68">
        <f>(D67+D68)*MIN(1.5*D66+MIN(E29-E28,2*E31),E4)-D60</f>
        <v>950000</v>
      </c>
      <c r="E69" s="163" t="s">
        <v>5</v>
      </c>
      <c r="F69" s="174" t="s">
        <v>116</v>
      </c>
      <c r="G69" s="160"/>
      <c r="H69" s="145"/>
      <c r="I69" s="145"/>
      <c r="J69" s="145"/>
      <c r="L69" s="175" t="s">
        <v>55</v>
      </c>
      <c r="M69" s="41"/>
      <c r="Y69" s="5"/>
      <c r="Z69" s="5"/>
      <c r="AA69" s="5"/>
      <c r="AB69" s="5"/>
      <c r="AC69" s="5"/>
      <c r="AI69" s="4"/>
      <c r="AJ69" s="4"/>
      <c r="AK69" s="4"/>
      <c r="AL69" s="4"/>
      <c r="AM69" s="4"/>
      <c r="AN69" s="4"/>
      <c r="AO69" s="4"/>
      <c r="AP69" s="4"/>
      <c r="AQ69" s="4"/>
      <c r="AR69" s="4"/>
      <c r="AS69" s="4"/>
      <c r="AT69" s="4"/>
      <c r="AU69" s="4"/>
      <c r="AV69" s="4"/>
      <c r="AW69" s="4"/>
      <c r="AX69" s="4"/>
      <c r="AY69" s="4"/>
      <c r="AZ69" s="4"/>
      <c r="BA69" s="4"/>
      <c r="BB69" s="4"/>
    </row>
    <row r="70" spans="2:54" ht="12.75" customHeight="1">
      <c r="B70" s="54"/>
      <c r="C70" s="162" t="s">
        <v>19</v>
      </c>
      <c r="D70" s="69">
        <f>4.5*(D66)^2</f>
        <v>1620000</v>
      </c>
      <c r="E70" s="163" t="s">
        <v>5</v>
      </c>
      <c r="F70" s="176" t="s">
        <v>97</v>
      </c>
      <c r="G70" s="160"/>
      <c r="H70" s="145"/>
      <c r="I70" s="145"/>
      <c r="J70" s="145"/>
      <c r="L70" s="175" t="s">
        <v>29</v>
      </c>
      <c r="M70" s="41"/>
      <c r="Y70" s="5"/>
      <c r="Z70" s="5"/>
      <c r="AA70" s="5"/>
      <c r="AB70" s="5"/>
      <c r="AC70" s="5"/>
      <c r="AI70" s="4"/>
      <c r="AJ70" s="4"/>
      <c r="AK70" s="4"/>
      <c r="AL70" s="4"/>
      <c r="AM70" s="4"/>
      <c r="AN70" s="4"/>
      <c r="AO70" s="4"/>
      <c r="AP70" s="4"/>
      <c r="AQ70" s="4"/>
      <c r="AR70" s="4"/>
      <c r="AS70" s="4"/>
      <c r="AT70" s="4"/>
      <c r="AU70" s="4"/>
      <c r="AV70" s="4"/>
      <c r="AW70" s="4"/>
      <c r="AX70" s="4"/>
      <c r="AY70" s="4"/>
      <c r="AZ70" s="4"/>
      <c r="BA70" s="4"/>
      <c r="BB70" s="4"/>
    </row>
    <row r="71" spans="2:54" ht="12.75" customHeight="1">
      <c r="B71" s="54"/>
      <c r="C71" s="172" t="s">
        <v>20</v>
      </c>
      <c r="D71" s="70">
        <v>1</v>
      </c>
      <c r="E71" s="163"/>
      <c r="F71" s="174" t="s">
        <v>98</v>
      </c>
      <c r="G71" s="145"/>
      <c r="H71" s="167"/>
      <c r="I71" s="150"/>
      <c r="J71" s="150"/>
      <c r="L71" s="175" t="s">
        <v>117</v>
      </c>
      <c r="M71" s="41"/>
      <c r="Y71" s="5"/>
      <c r="Z71" s="5"/>
      <c r="AA71" s="5"/>
      <c r="AB71" s="5"/>
      <c r="AC71" s="5"/>
      <c r="AI71" s="4"/>
      <c r="AJ71" s="4"/>
      <c r="AK71" s="4"/>
      <c r="AL71" s="4"/>
      <c r="AM71" s="4"/>
      <c r="AN71" s="4"/>
      <c r="AO71" s="4"/>
      <c r="AP71" s="4"/>
      <c r="AQ71" s="4"/>
      <c r="AR71" s="4"/>
      <c r="AS71" s="4"/>
      <c r="AT71" s="4"/>
      <c r="AU71" s="4"/>
      <c r="AV71" s="4"/>
      <c r="AW71" s="4"/>
      <c r="AX71" s="4"/>
      <c r="AY71" s="4"/>
      <c r="AZ71" s="4"/>
      <c r="BA71" s="4"/>
      <c r="BB71" s="4"/>
    </row>
    <row r="72" spans="2:54" ht="12.75" customHeight="1">
      <c r="B72" s="54"/>
      <c r="C72" s="172" t="s">
        <v>21</v>
      </c>
      <c r="D72" s="70">
        <f>IF(MIN(E21:E22)&gt;=1.5*D66,1,0.7+(0.3*(MIN(E21:E22)/(1.5*(D66)))))</f>
        <v>0.86666666666666659</v>
      </c>
      <c r="E72" s="163"/>
      <c r="F72" s="160" t="str">
        <f>IF(D72=1,"= 1     for Ca2 &gt; 1.5Ca1","= 0.7 + 0.3 Ca2/(1.5Ca1)     for Ca2 &lt; 1.5Ca1")</f>
        <v>= 0.7 + 0.3 Ca2/(1.5Ca1)     for Ca2 &lt; 1.5Ca1</v>
      </c>
      <c r="G72" s="145"/>
      <c r="H72" s="167"/>
      <c r="I72" s="145"/>
      <c r="J72" s="145"/>
      <c r="L72" s="175" t="s">
        <v>118</v>
      </c>
      <c r="M72" s="41"/>
      <c r="Y72" s="5"/>
      <c r="Z72" s="5"/>
      <c r="AA72" s="5"/>
      <c r="AB72" s="5"/>
      <c r="AC72" s="5"/>
      <c r="AI72" s="4"/>
      <c r="AJ72" s="4"/>
      <c r="AK72" s="4"/>
      <c r="AL72" s="4"/>
      <c r="AM72" s="4"/>
      <c r="AN72" s="4"/>
      <c r="AO72" s="4"/>
      <c r="AP72" s="4"/>
      <c r="AQ72" s="4"/>
      <c r="AR72" s="4"/>
      <c r="AS72" s="4"/>
      <c r="AT72" s="4"/>
      <c r="AU72" s="4"/>
      <c r="AV72" s="4"/>
      <c r="AW72" s="4"/>
      <c r="AX72" s="4"/>
      <c r="AY72" s="4"/>
      <c r="AZ72" s="4"/>
      <c r="BA72" s="4"/>
      <c r="BB72" s="4"/>
    </row>
    <row r="73" spans="2:54" ht="12.75" customHeight="1">
      <c r="B73" s="54"/>
      <c r="C73" s="172" t="s">
        <v>22</v>
      </c>
      <c r="D73" s="67">
        <f>IF(E40="No",1.4,IF(E41="No",1,IF(E42="case 1",1,IF(E42="case 2",1.2,IF(E42="case 3",1.4,1)))))</f>
        <v>1.2</v>
      </c>
      <c r="E73" s="163"/>
      <c r="F73" s="160" t="str">
        <f>IF(E40="No","for lug in uncracked section",IF(E41="No","for lug in cracked section with no supplement Rft.",IF(D73=1,"for lug in cracked section Case 1",IF(D73=1.2,"for lug in cracked seciton Case 2",IF(D73=1.4,"for lug in cracked section Case 3","")))))</f>
        <v>for lug in cracked seciton Case 2</v>
      </c>
      <c r="G73" s="160"/>
      <c r="H73" s="167"/>
      <c r="I73" s="145"/>
      <c r="J73" s="145"/>
      <c r="L73" s="175" t="s">
        <v>119</v>
      </c>
      <c r="M73" s="41"/>
      <c r="Y73" s="5"/>
      <c r="Z73" s="5"/>
      <c r="AA73" s="5"/>
      <c r="AB73" s="5"/>
      <c r="AC73" s="5"/>
      <c r="AI73" s="4"/>
      <c r="AJ73" s="4"/>
      <c r="AK73" s="4"/>
      <c r="AL73" s="4"/>
      <c r="AM73" s="4"/>
      <c r="AN73" s="4"/>
      <c r="AO73" s="4"/>
      <c r="AP73" s="4"/>
      <c r="AQ73" s="4"/>
      <c r="AR73" s="4"/>
      <c r="AS73" s="4"/>
      <c r="AT73" s="4"/>
      <c r="AU73" s="4"/>
      <c r="AV73" s="4"/>
      <c r="AW73" s="4"/>
      <c r="AX73" s="4"/>
      <c r="AY73" s="4"/>
      <c r="AZ73" s="4"/>
      <c r="BA73" s="4"/>
      <c r="BB73" s="4"/>
    </row>
    <row r="74" spans="2:54" ht="12.75" customHeight="1">
      <c r="B74" s="54"/>
      <c r="C74" s="172" t="s">
        <v>23</v>
      </c>
      <c r="D74" s="70">
        <f>MAX(1,SQRT(1.5*D66/E4))</f>
        <v>1</v>
      </c>
      <c r="E74" s="163"/>
      <c r="F74" s="174" t="s">
        <v>99</v>
      </c>
      <c r="G74" s="160"/>
      <c r="H74" s="167"/>
      <c r="I74" s="167"/>
      <c r="J74" s="167"/>
      <c r="L74" s="177" t="s">
        <v>30</v>
      </c>
      <c r="M74" s="41"/>
      <c r="Y74" s="5"/>
      <c r="Z74" s="5"/>
      <c r="AA74" s="5"/>
      <c r="AB74" s="5"/>
      <c r="AC74" s="5"/>
      <c r="AI74" s="4"/>
      <c r="AJ74" s="4"/>
      <c r="AK74" s="4"/>
      <c r="AL74" s="4"/>
      <c r="AM74" s="4"/>
      <c r="AN74" s="4"/>
      <c r="AO74" s="4"/>
      <c r="AP74" s="4"/>
      <c r="AQ74" s="4"/>
      <c r="AR74" s="4"/>
      <c r="AS74" s="4"/>
      <c r="AT74" s="4"/>
      <c r="AU74" s="4"/>
      <c r="AV74" s="4"/>
      <c r="AW74" s="4"/>
      <c r="AX74" s="4"/>
      <c r="AY74" s="4"/>
      <c r="AZ74" s="4"/>
      <c r="BA74" s="4"/>
      <c r="BB74" s="4"/>
    </row>
    <row r="75" spans="2:54" ht="12.75" customHeight="1">
      <c r="B75" s="54"/>
      <c r="C75" s="162" t="s">
        <v>24</v>
      </c>
      <c r="D75" s="71">
        <f>3.7*SQRT(E13)*(D66)^1.5/1000</f>
        <v>287.74488700930874</v>
      </c>
      <c r="E75" s="163" t="s">
        <v>3</v>
      </c>
      <c r="F75" s="174" t="s">
        <v>100</v>
      </c>
      <c r="G75" s="145"/>
      <c r="H75" s="167"/>
      <c r="I75" s="167"/>
      <c r="J75" s="167"/>
      <c r="L75" s="177" t="s">
        <v>56</v>
      </c>
      <c r="M75" s="41"/>
      <c r="Y75" s="5"/>
      <c r="Z75" s="5"/>
      <c r="AA75" s="5"/>
      <c r="AB75" s="5"/>
      <c r="AC75" s="5"/>
      <c r="AI75" s="4"/>
      <c r="AJ75" s="4"/>
      <c r="AK75" s="4"/>
      <c r="AL75" s="4"/>
      <c r="AM75" s="4"/>
      <c r="AN75" s="4"/>
      <c r="AO75" s="4"/>
      <c r="AP75" s="4"/>
      <c r="AQ75" s="4"/>
      <c r="AR75" s="4"/>
      <c r="AS75" s="4"/>
      <c r="AT75" s="4"/>
      <c r="AU75" s="4"/>
      <c r="AV75" s="4"/>
      <c r="AW75" s="4"/>
      <c r="AX75" s="4"/>
      <c r="AY75" s="4"/>
      <c r="AZ75" s="4"/>
      <c r="BA75" s="4"/>
      <c r="BB75" s="4"/>
    </row>
    <row r="76" spans="2:54" ht="12.75" customHeight="1">
      <c r="B76" s="54"/>
      <c r="C76" s="162" t="s">
        <v>57</v>
      </c>
      <c r="D76" s="71">
        <f>IF(D69=0,0,(D69/D70)*D71*D72*D73*D74*D75)</f>
        <v>175.48885701555372</v>
      </c>
      <c r="E76" s="163" t="s">
        <v>3</v>
      </c>
      <c r="F76" s="174" t="s">
        <v>101</v>
      </c>
      <c r="G76" s="145"/>
      <c r="H76" s="167"/>
      <c r="I76" s="167"/>
      <c r="J76" s="167"/>
      <c r="L76" s="175" t="s">
        <v>58</v>
      </c>
      <c r="M76" s="41"/>
      <c r="Y76" s="5"/>
      <c r="Z76" s="5"/>
      <c r="AA76" s="5"/>
      <c r="AB76" s="5"/>
      <c r="AC76" s="5"/>
      <c r="AI76" s="4"/>
      <c r="AJ76" s="4"/>
      <c r="AK76" s="4"/>
      <c r="AL76" s="4"/>
      <c r="AM76" s="4"/>
      <c r="AN76" s="4"/>
      <c r="AO76" s="4"/>
      <c r="AP76" s="4"/>
      <c r="AQ76" s="4"/>
      <c r="AR76" s="4"/>
      <c r="AS76" s="4"/>
      <c r="AT76" s="4"/>
      <c r="AU76" s="4"/>
      <c r="AV76" s="4"/>
      <c r="AW76" s="4"/>
      <c r="AX76" s="4"/>
      <c r="AY76" s="4"/>
      <c r="AZ76" s="4"/>
      <c r="BA76" s="4"/>
      <c r="BB76" s="4"/>
    </row>
    <row r="77" spans="2:54" ht="12.75" customHeight="1">
      <c r="B77" s="54"/>
      <c r="C77" s="172" t="s">
        <v>59</v>
      </c>
      <c r="D77" s="71">
        <f>D65*D76</f>
        <v>114.06775706010993</v>
      </c>
      <c r="E77" s="163" t="s">
        <v>3</v>
      </c>
      <c r="F77" s="160" t="str">
        <f>IF(D77&gt;=D47,"&gt; Vu = "&amp;ROUND(D47,1)&amp;" kN","&lt; Vu = "&amp;ROUND(D47,1)&amp;" kN")</f>
        <v>&lt; Vu = 300 kN</v>
      </c>
      <c r="G77" s="166"/>
      <c r="H77" s="167"/>
      <c r="I77" s="167"/>
      <c r="J77" s="167"/>
      <c r="L77" s="165" t="str">
        <f>IF(D77&gt;D47,"O.k.","Shear Rft. Required")</f>
        <v>Shear Rft. Required</v>
      </c>
      <c r="M77" s="41"/>
      <c r="Y77" s="5"/>
      <c r="Z77" s="5"/>
      <c r="AA77" s="5"/>
      <c r="AB77" s="5"/>
      <c r="AC77" s="5"/>
      <c r="AI77" s="4"/>
      <c r="AJ77" s="4"/>
      <c r="AK77" s="4"/>
      <c r="AL77" s="4"/>
      <c r="AM77" s="4"/>
      <c r="AN77" s="4"/>
      <c r="AO77" s="4"/>
      <c r="AP77" s="4"/>
      <c r="AQ77" s="4"/>
      <c r="AR77" s="4"/>
      <c r="AS77" s="4"/>
      <c r="AT77" s="4"/>
      <c r="AU77" s="4"/>
      <c r="AV77" s="4"/>
      <c r="AW77" s="4"/>
      <c r="AX77" s="4"/>
      <c r="AY77" s="4"/>
      <c r="AZ77" s="4"/>
      <c r="BA77" s="4"/>
      <c r="BB77" s="4"/>
    </row>
    <row r="78" spans="2:54" ht="12.75" customHeight="1">
      <c r="B78" s="93"/>
      <c r="C78" s="94"/>
      <c r="D78" s="94"/>
      <c r="E78" s="94"/>
      <c r="F78" s="94"/>
      <c r="G78" s="94"/>
      <c r="H78" s="94"/>
      <c r="I78" s="178"/>
      <c r="J78" s="178"/>
      <c r="K78" s="94"/>
      <c r="L78" s="95"/>
      <c r="M78" s="101"/>
      <c r="Y78" s="5"/>
      <c r="Z78" s="5"/>
      <c r="AA78" s="5"/>
      <c r="AB78" s="5"/>
      <c r="AC78" s="5"/>
      <c r="AI78" s="4"/>
      <c r="AJ78" s="4"/>
      <c r="AK78" s="4"/>
      <c r="AL78" s="4"/>
      <c r="AM78" s="4"/>
      <c r="AN78" s="4"/>
      <c r="AO78" s="4"/>
      <c r="AP78" s="4"/>
      <c r="AQ78" s="4"/>
      <c r="AR78" s="4"/>
      <c r="AS78" s="4"/>
      <c r="AT78" s="4"/>
      <c r="AU78" s="4"/>
      <c r="AV78" s="4"/>
      <c r="AW78" s="4"/>
      <c r="AX78" s="4"/>
      <c r="AY78" s="4"/>
      <c r="AZ78" s="4"/>
      <c r="BA78" s="4"/>
      <c r="BB78" s="4"/>
    </row>
    <row r="79" spans="2:54" ht="12.75" customHeight="1">
      <c r="Y79" s="5"/>
      <c r="Z79" s="5"/>
      <c r="AA79" s="5"/>
      <c r="AB79" s="5"/>
      <c r="AC79" s="5"/>
      <c r="AI79" s="4"/>
      <c r="AJ79" s="4"/>
      <c r="AK79" s="4"/>
      <c r="AL79" s="4"/>
      <c r="AM79" s="4"/>
      <c r="AN79" s="4"/>
      <c r="AO79" s="4"/>
      <c r="AP79" s="4"/>
      <c r="AQ79" s="4"/>
      <c r="AR79" s="4"/>
      <c r="AS79" s="4"/>
      <c r="AT79" s="4"/>
      <c r="AU79" s="4"/>
      <c r="AV79" s="4"/>
      <c r="AW79" s="4"/>
      <c r="AX79" s="4"/>
      <c r="AY79" s="4"/>
      <c r="AZ79" s="4"/>
      <c r="BA79" s="4"/>
      <c r="BB79" s="4"/>
    </row>
    <row r="80" spans="2:54" ht="12.75" customHeight="1">
      <c r="P80" s="1"/>
      <c r="Q80" s="15"/>
      <c r="R80" s="24"/>
      <c r="S80" s="20"/>
      <c r="T80" s="5"/>
      <c r="U80" s="5"/>
      <c r="V80" s="5"/>
      <c r="W80" s="5"/>
      <c r="X80" s="5"/>
      <c r="Y80" s="5"/>
      <c r="Z80" s="5"/>
      <c r="AA80" s="5"/>
      <c r="AB80" s="5"/>
      <c r="AC80" s="5"/>
      <c r="AI80" s="4"/>
      <c r="AJ80" s="4"/>
      <c r="AK80" s="4"/>
      <c r="AL80" s="4"/>
      <c r="AM80" s="4"/>
      <c r="AN80" s="4"/>
      <c r="AO80" s="4"/>
      <c r="AP80" s="4"/>
      <c r="AQ80" s="4"/>
      <c r="AR80" s="4"/>
      <c r="AS80" s="4"/>
      <c r="AT80" s="4"/>
      <c r="AU80" s="4"/>
      <c r="AV80" s="4"/>
      <c r="AW80" s="4"/>
      <c r="AX80" s="4"/>
      <c r="AY80" s="4"/>
      <c r="AZ80" s="4"/>
      <c r="BA80" s="4"/>
      <c r="BB80" s="4"/>
    </row>
    <row r="81" spans="16:54" ht="12.75" customHeight="1">
      <c r="P81" s="1"/>
      <c r="Q81" s="15"/>
      <c r="R81" s="24"/>
      <c r="S81" s="20"/>
      <c r="T81" s="5"/>
      <c r="U81" s="5"/>
      <c r="V81" s="5"/>
      <c r="W81" s="5"/>
      <c r="X81" s="5"/>
      <c r="Y81" s="5"/>
      <c r="Z81" s="5"/>
      <c r="AA81" s="5"/>
      <c r="AB81" s="5"/>
      <c r="AC81" s="5"/>
      <c r="AI81" s="4"/>
      <c r="AJ81" s="4"/>
      <c r="AK81" s="4"/>
      <c r="AL81" s="4"/>
      <c r="AM81" s="4"/>
      <c r="AN81" s="4"/>
      <c r="AO81" s="4"/>
      <c r="AP81" s="4"/>
      <c r="AQ81" s="4"/>
      <c r="AR81" s="4"/>
      <c r="AS81" s="4"/>
      <c r="AT81" s="4"/>
      <c r="AU81" s="4"/>
      <c r="AV81" s="4"/>
      <c r="AW81" s="4"/>
      <c r="AX81" s="4"/>
      <c r="AY81" s="4"/>
      <c r="AZ81" s="4"/>
      <c r="BA81" s="4"/>
      <c r="BB81" s="4"/>
    </row>
    <row r="82" spans="16:54" ht="12.75" customHeight="1">
      <c r="P82" s="1"/>
      <c r="Q82" s="15"/>
      <c r="R82" s="24"/>
      <c r="S82" s="20"/>
      <c r="T82" s="5"/>
      <c r="U82" s="5"/>
      <c r="V82" s="5"/>
      <c r="W82" s="5"/>
      <c r="X82" s="5"/>
      <c r="Y82" s="5"/>
      <c r="Z82" s="5"/>
      <c r="AA82" s="5"/>
      <c r="AB82" s="5"/>
      <c r="AC82" s="5"/>
      <c r="AI82" s="4"/>
      <c r="AJ82" s="4"/>
      <c r="AK82" s="4"/>
      <c r="AL82" s="4"/>
      <c r="AM82" s="4"/>
      <c r="AN82" s="4"/>
      <c r="AO82" s="4"/>
      <c r="AP82" s="4"/>
      <c r="AQ82" s="4"/>
      <c r="AR82" s="4"/>
      <c r="AS82" s="4"/>
      <c r="AT82" s="4"/>
      <c r="AU82" s="4"/>
      <c r="AV82" s="4"/>
      <c r="AW82" s="4"/>
      <c r="AX82" s="4"/>
      <c r="AY82" s="4"/>
      <c r="AZ82" s="4"/>
      <c r="BA82" s="4"/>
      <c r="BB82" s="4"/>
    </row>
    <row r="83" spans="16:54" ht="12.75" customHeight="1">
      <c r="P83" s="1"/>
      <c r="Q83" s="15"/>
      <c r="R83" s="24"/>
      <c r="S83" s="20"/>
      <c r="T83" s="5"/>
      <c r="U83" s="5"/>
      <c r="V83" s="5"/>
      <c r="W83" s="5"/>
      <c r="X83" s="5"/>
      <c r="Y83" s="5"/>
      <c r="Z83" s="5"/>
      <c r="AA83" s="5"/>
      <c r="AB83" s="5"/>
      <c r="AC83" s="5"/>
      <c r="AI83" s="4"/>
      <c r="AJ83" s="4"/>
      <c r="AK83" s="4"/>
      <c r="AL83" s="4"/>
      <c r="AM83" s="4"/>
      <c r="AN83" s="4"/>
      <c r="AO83" s="4"/>
      <c r="AP83" s="4"/>
      <c r="AQ83" s="4"/>
      <c r="AR83" s="4"/>
      <c r="AS83" s="4"/>
      <c r="AT83" s="4"/>
      <c r="AU83" s="4"/>
      <c r="AV83" s="4"/>
      <c r="AW83" s="4"/>
      <c r="AX83" s="4"/>
      <c r="AY83" s="4"/>
      <c r="AZ83" s="4"/>
      <c r="BA83" s="4"/>
      <c r="BB83" s="4"/>
    </row>
    <row r="84" spans="16:54" ht="12.75" customHeight="1">
      <c r="P84" s="1"/>
      <c r="Q84" s="15"/>
      <c r="R84" s="24"/>
      <c r="S84" s="20"/>
      <c r="T84" s="5"/>
      <c r="U84" s="5"/>
      <c r="V84" s="5"/>
      <c r="W84" s="5"/>
      <c r="X84" s="5"/>
      <c r="Y84" s="5"/>
      <c r="Z84" s="5"/>
      <c r="AA84" s="5"/>
      <c r="AB84" s="5"/>
      <c r="AC84" s="5"/>
      <c r="AI84" s="4"/>
      <c r="AJ84" s="4"/>
      <c r="AK84" s="4"/>
      <c r="AL84" s="4"/>
      <c r="AM84" s="4"/>
      <c r="AN84" s="4"/>
      <c r="AO84" s="4"/>
      <c r="AP84" s="4"/>
      <c r="AQ84" s="4"/>
      <c r="AR84" s="4"/>
      <c r="AS84" s="4"/>
      <c r="AT84" s="4"/>
      <c r="AU84" s="4"/>
      <c r="AV84" s="4"/>
      <c r="AW84" s="4"/>
      <c r="AX84" s="4"/>
      <c r="AY84" s="4"/>
      <c r="AZ84" s="4"/>
      <c r="BA84" s="4"/>
      <c r="BB84" s="4"/>
    </row>
    <row r="85" spans="16:54" ht="12.75" customHeight="1">
      <c r="P85" s="1"/>
      <c r="Q85" s="15"/>
      <c r="R85" s="24"/>
      <c r="S85" s="20"/>
      <c r="T85" s="5"/>
      <c r="U85" s="5"/>
      <c r="V85" s="5"/>
      <c r="W85" s="5"/>
      <c r="X85" s="5"/>
      <c r="Y85" s="5"/>
      <c r="Z85" s="5"/>
      <c r="AA85" s="5"/>
      <c r="AB85" s="5"/>
      <c r="AC85" s="5"/>
      <c r="AI85" s="4"/>
      <c r="AJ85" s="4"/>
      <c r="AK85" s="4"/>
      <c r="AL85" s="4"/>
      <c r="AM85" s="4"/>
      <c r="AN85" s="4"/>
      <c r="AO85" s="4"/>
      <c r="AP85" s="4"/>
      <c r="AQ85" s="4"/>
      <c r="AR85" s="4"/>
      <c r="AS85" s="4"/>
      <c r="AT85" s="4"/>
      <c r="AU85" s="4"/>
      <c r="AV85" s="4"/>
      <c r="AW85" s="4"/>
      <c r="AX85" s="4"/>
      <c r="AY85" s="4"/>
      <c r="AZ85" s="4"/>
      <c r="BA85" s="4"/>
      <c r="BB85" s="4"/>
    </row>
    <row r="86" spans="16:54" ht="12.75" customHeight="1">
      <c r="P86" s="1"/>
      <c r="Q86" s="15"/>
      <c r="R86" s="24"/>
      <c r="S86" s="20"/>
      <c r="T86" s="5"/>
      <c r="U86" s="5"/>
      <c r="V86" s="5"/>
      <c r="W86" s="5"/>
      <c r="X86" s="5"/>
      <c r="Y86" s="5"/>
      <c r="Z86" s="5"/>
      <c r="AA86" s="5"/>
      <c r="AB86" s="5"/>
      <c r="AC86" s="5"/>
      <c r="AI86" s="4"/>
      <c r="AJ86" s="4"/>
      <c r="AK86" s="4"/>
      <c r="AL86" s="4"/>
      <c r="AM86" s="4"/>
      <c r="AN86" s="4"/>
      <c r="AO86" s="4"/>
      <c r="AP86" s="4"/>
      <c r="AQ86" s="4"/>
      <c r="AR86" s="4"/>
      <c r="AS86" s="4"/>
      <c r="AT86" s="4"/>
      <c r="AU86" s="4"/>
      <c r="AV86" s="4"/>
      <c r="AW86" s="4"/>
      <c r="AX86" s="4"/>
      <c r="AY86" s="4"/>
      <c r="AZ86" s="4"/>
      <c r="BA86" s="4"/>
      <c r="BB86" s="4"/>
    </row>
    <row r="87" spans="16:54" ht="12.75" customHeight="1">
      <c r="P87" s="1"/>
      <c r="Q87" s="15"/>
      <c r="R87" s="24"/>
      <c r="S87" s="20"/>
      <c r="T87" s="5"/>
      <c r="U87" s="5"/>
      <c r="V87" s="5"/>
      <c r="W87" s="5"/>
      <c r="X87" s="5"/>
      <c r="Y87" s="5"/>
      <c r="Z87" s="5"/>
      <c r="AA87" s="5"/>
      <c r="AB87" s="5"/>
      <c r="AC87" s="5"/>
      <c r="AG87" s="4"/>
      <c r="AH87" s="4"/>
      <c r="AI87" s="4"/>
      <c r="AJ87" s="4"/>
      <c r="AK87" s="4"/>
      <c r="AL87" s="4"/>
      <c r="AM87" s="4"/>
      <c r="AN87" s="4"/>
      <c r="AO87" s="4"/>
      <c r="AP87" s="4"/>
      <c r="AQ87" s="4"/>
      <c r="AR87" s="4"/>
      <c r="AS87" s="4"/>
      <c r="AT87" s="4"/>
      <c r="AU87" s="4"/>
      <c r="AV87" s="4"/>
      <c r="AW87" s="4"/>
      <c r="AX87" s="4"/>
      <c r="AY87" s="4"/>
      <c r="AZ87" s="4"/>
      <c r="BA87" s="4"/>
      <c r="BB87" s="4"/>
    </row>
    <row r="88" spans="16:54" ht="12.75" customHeight="1">
      <c r="P88" s="1"/>
      <c r="Q88" s="15"/>
      <c r="R88" s="24"/>
      <c r="S88" s="20"/>
      <c r="T88" s="5"/>
      <c r="U88" s="5"/>
      <c r="V88" s="5"/>
      <c r="W88" s="5"/>
      <c r="X88" s="5"/>
      <c r="Y88" s="5"/>
      <c r="Z88" s="5"/>
      <c r="AA88" s="5"/>
      <c r="AB88" s="5"/>
      <c r="AC88" s="5"/>
      <c r="AG88" s="4"/>
      <c r="AH88" s="4"/>
      <c r="AI88" s="4"/>
      <c r="AJ88" s="4"/>
      <c r="AK88" s="4"/>
      <c r="AL88" s="4"/>
      <c r="AM88" s="4"/>
      <c r="AN88" s="4"/>
      <c r="AO88" s="4"/>
      <c r="AP88" s="4"/>
      <c r="AQ88" s="4"/>
      <c r="AR88" s="4"/>
      <c r="AS88" s="4"/>
      <c r="AT88" s="4"/>
      <c r="AU88" s="4"/>
      <c r="AV88" s="4"/>
      <c r="AW88" s="4"/>
      <c r="AX88" s="4"/>
      <c r="AY88" s="4"/>
      <c r="AZ88" s="4"/>
      <c r="BA88" s="4"/>
      <c r="BB88" s="4"/>
    </row>
    <row r="89" spans="16:54" ht="12.75" customHeight="1">
      <c r="P89" s="1"/>
      <c r="Q89" s="15"/>
      <c r="R89" s="24"/>
      <c r="S89" s="20"/>
      <c r="T89" s="5"/>
      <c r="U89" s="5"/>
      <c r="V89" s="5"/>
      <c r="W89" s="5"/>
      <c r="X89" s="5"/>
      <c r="Y89" s="5"/>
      <c r="Z89" s="5"/>
      <c r="AA89" s="5"/>
      <c r="AB89" s="5"/>
      <c r="AC89" s="5"/>
      <c r="AG89" s="4"/>
      <c r="AH89" s="4"/>
      <c r="AI89" s="4"/>
      <c r="AJ89" s="4"/>
      <c r="AK89" s="4"/>
      <c r="AL89" s="4"/>
      <c r="AM89" s="4"/>
      <c r="AN89" s="4"/>
      <c r="AO89" s="4"/>
      <c r="AP89" s="4"/>
      <c r="AQ89" s="4"/>
      <c r="AR89" s="4"/>
      <c r="AS89" s="4"/>
      <c r="AT89" s="4"/>
      <c r="AU89" s="4"/>
      <c r="AV89" s="4"/>
      <c r="AW89" s="4"/>
      <c r="AX89" s="4"/>
      <c r="AY89" s="4"/>
      <c r="AZ89" s="4"/>
      <c r="BA89" s="4"/>
      <c r="BB89" s="4"/>
    </row>
    <row r="90" spans="16:54" ht="12.75" customHeight="1">
      <c r="P90" s="1"/>
      <c r="Q90" s="15"/>
      <c r="R90" s="24"/>
      <c r="S90" s="20"/>
      <c r="T90" s="5"/>
      <c r="U90" s="5"/>
      <c r="V90" s="5"/>
      <c r="W90" s="5"/>
      <c r="X90" s="5"/>
      <c r="Y90" s="5"/>
      <c r="Z90" s="5"/>
      <c r="AA90" s="5"/>
      <c r="AB90" s="5"/>
      <c r="AC90" s="5"/>
      <c r="AG90" s="4"/>
      <c r="AH90" s="4"/>
      <c r="AI90" s="4"/>
      <c r="AJ90" s="4"/>
      <c r="AK90" s="4"/>
      <c r="AL90" s="4"/>
      <c r="AM90" s="4"/>
      <c r="AN90" s="4"/>
      <c r="AO90" s="4"/>
      <c r="AP90" s="4"/>
      <c r="AQ90" s="4"/>
      <c r="AR90" s="4"/>
      <c r="AS90" s="4"/>
      <c r="AT90" s="4"/>
      <c r="AU90" s="4"/>
      <c r="AV90" s="4"/>
      <c r="AW90" s="4"/>
      <c r="AX90" s="4"/>
      <c r="AY90" s="4"/>
      <c r="AZ90" s="4"/>
      <c r="BA90" s="4"/>
      <c r="BB90" s="4"/>
    </row>
    <row r="91" spans="16:54" ht="12.75" customHeight="1">
      <c r="P91" s="1"/>
      <c r="Q91" s="15"/>
      <c r="R91" s="24"/>
      <c r="S91" s="20"/>
      <c r="T91" s="5"/>
      <c r="U91" s="5"/>
      <c r="V91" s="5"/>
      <c r="W91" s="5"/>
      <c r="X91" s="5"/>
      <c r="Y91" s="5"/>
      <c r="Z91" s="5"/>
      <c r="AA91" s="5"/>
      <c r="AB91" s="5"/>
      <c r="AC91" s="5"/>
      <c r="AG91" s="4"/>
      <c r="AH91" s="4"/>
      <c r="AI91" s="4"/>
      <c r="AJ91" s="4"/>
      <c r="AK91" s="4"/>
      <c r="AL91" s="4"/>
      <c r="AM91" s="4"/>
      <c r="AN91" s="4"/>
      <c r="AO91" s="4"/>
      <c r="AP91" s="4"/>
      <c r="AQ91" s="4"/>
      <c r="AR91" s="4"/>
      <c r="AS91" s="4"/>
      <c r="AT91" s="4"/>
      <c r="AU91" s="4"/>
      <c r="AV91" s="4"/>
      <c r="AW91" s="4"/>
      <c r="AX91" s="4"/>
      <c r="AY91" s="4"/>
      <c r="AZ91" s="4"/>
      <c r="BA91" s="4"/>
      <c r="BB91" s="4"/>
    </row>
    <row r="92" spans="16:54" ht="12.75" customHeight="1">
      <c r="P92" s="1"/>
      <c r="Q92" s="15"/>
      <c r="R92" s="24"/>
      <c r="S92" s="20"/>
      <c r="T92" s="5"/>
      <c r="U92" s="5"/>
      <c r="V92" s="5"/>
      <c r="W92" s="5"/>
      <c r="X92" s="5"/>
      <c r="Y92" s="5"/>
      <c r="Z92" s="5"/>
      <c r="AA92" s="5"/>
      <c r="AB92" s="5"/>
      <c r="AC92" s="5"/>
      <c r="AG92" s="4"/>
      <c r="AH92" s="4"/>
      <c r="AI92" s="4"/>
      <c r="AJ92" s="4"/>
      <c r="AK92" s="4"/>
      <c r="AL92" s="4"/>
      <c r="AM92" s="4"/>
      <c r="AN92" s="4"/>
      <c r="AO92" s="4"/>
      <c r="AP92" s="4"/>
      <c r="AQ92" s="4"/>
      <c r="AR92" s="4"/>
      <c r="AS92" s="4"/>
      <c r="AT92" s="4"/>
      <c r="AU92" s="4"/>
      <c r="AV92" s="4"/>
      <c r="AW92" s="4"/>
      <c r="AX92" s="4"/>
      <c r="AY92" s="4"/>
      <c r="AZ92" s="4"/>
      <c r="BA92" s="4"/>
      <c r="BB92" s="4"/>
    </row>
    <row r="93" spans="16:54" ht="12.75" customHeight="1">
      <c r="P93" s="1"/>
      <c r="Q93" s="15"/>
      <c r="R93" s="24"/>
      <c r="S93" s="20"/>
      <c r="T93" s="5"/>
      <c r="U93" s="5"/>
      <c r="V93" s="5"/>
      <c r="W93" s="5"/>
      <c r="X93" s="5"/>
      <c r="Y93" s="5"/>
      <c r="Z93" s="5"/>
      <c r="AA93" s="5"/>
      <c r="AB93" s="5"/>
      <c r="AC93" s="5"/>
      <c r="AG93" s="4"/>
      <c r="AH93" s="4"/>
      <c r="AI93" s="4"/>
      <c r="AJ93" s="4"/>
      <c r="AK93" s="4"/>
      <c r="AL93" s="4"/>
      <c r="AM93" s="4"/>
      <c r="AN93" s="4"/>
      <c r="AO93" s="4"/>
      <c r="AP93" s="4"/>
      <c r="AQ93" s="4"/>
      <c r="AR93" s="4"/>
      <c r="AS93" s="4"/>
      <c r="AT93" s="4"/>
      <c r="AU93" s="4"/>
      <c r="AV93" s="4"/>
      <c r="AW93" s="4"/>
      <c r="AX93" s="4"/>
      <c r="AY93" s="4"/>
      <c r="AZ93" s="4"/>
      <c r="BA93" s="4"/>
      <c r="BB93" s="4"/>
    </row>
    <row r="94" spans="16:54" ht="12.75" customHeight="1">
      <c r="P94" s="1"/>
      <c r="Q94" s="15"/>
      <c r="R94" s="24"/>
      <c r="S94" s="20"/>
      <c r="T94" s="5"/>
      <c r="U94" s="5"/>
      <c r="V94" s="5"/>
      <c r="W94" s="5"/>
      <c r="X94" s="5"/>
      <c r="Y94" s="5"/>
      <c r="Z94" s="5"/>
      <c r="AA94" s="5"/>
      <c r="AB94" s="5"/>
      <c r="AC94" s="5"/>
      <c r="AG94" s="4"/>
      <c r="AH94" s="4"/>
      <c r="AI94" s="4"/>
      <c r="AJ94" s="4"/>
      <c r="AK94" s="4"/>
      <c r="AL94" s="4"/>
      <c r="AM94" s="4"/>
      <c r="AN94" s="4"/>
      <c r="AO94" s="4"/>
      <c r="AP94" s="4"/>
      <c r="AQ94" s="4"/>
      <c r="AR94" s="4"/>
      <c r="AS94" s="4"/>
      <c r="AT94" s="4"/>
      <c r="AU94" s="4"/>
      <c r="AV94" s="4"/>
      <c r="AW94" s="4"/>
      <c r="AX94" s="4"/>
      <c r="AY94" s="4"/>
      <c r="AZ94" s="4"/>
      <c r="BA94" s="4"/>
      <c r="BB94" s="4"/>
    </row>
    <row r="95" spans="16:54" ht="12.75" customHeight="1">
      <c r="P95" s="1"/>
      <c r="Q95" s="15"/>
      <c r="R95" s="24"/>
      <c r="S95" s="20"/>
      <c r="T95" s="5"/>
      <c r="U95" s="5"/>
      <c r="V95" s="5"/>
      <c r="W95" s="5"/>
      <c r="X95" s="5"/>
      <c r="Y95" s="5"/>
      <c r="Z95" s="5"/>
      <c r="AA95" s="5"/>
      <c r="AB95" s="5"/>
      <c r="AC95" s="5"/>
      <c r="AG95" s="4"/>
      <c r="AH95" s="4"/>
      <c r="AI95" s="4"/>
      <c r="AJ95" s="4"/>
      <c r="AK95" s="4"/>
      <c r="AL95" s="4"/>
      <c r="AM95" s="4"/>
      <c r="AN95" s="4"/>
      <c r="AO95" s="4"/>
      <c r="AP95" s="4"/>
      <c r="AQ95" s="4"/>
      <c r="AR95" s="4"/>
      <c r="AS95" s="4"/>
      <c r="AT95" s="4"/>
      <c r="AU95" s="4"/>
      <c r="AV95" s="4"/>
      <c r="AW95" s="4"/>
      <c r="AX95" s="4"/>
      <c r="AY95" s="4"/>
      <c r="AZ95" s="4"/>
      <c r="BA95" s="4"/>
      <c r="BB95" s="4"/>
    </row>
    <row r="96" spans="16:54" ht="12.75" customHeight="1">
      <c r="P96" s="1"/>
      <c r="Q96" s="15"/>
      <c r="R96" s="24"/>
      <c r="S96" s="20"/>
      <c r="T96" s="5"/>
      <c r="U96" s="5"/>
      <c r="V96" s="5"/>
      <c r="W96" s="5"/>
      <c r="X96" s="5"/>
      <c r="Y96" s="5"/>
      <c r="Z96" s="5"/>
      <c r="AA96" s="5"/>
      <c r="AB96" s="5"/>
      <c r="AC96" s="5"/>
      <c r="AG96" s="4"/>
      <c r="AH96" s="4"/>
      <c r="AI96" s="4"/>
      <c r="AJ96" s="4"/>
      <c r="AK96" s="4"/>
      <c r="AL96" s="4"/>
      <c r="AM96" s="4"/>
      <c r="AN96" s="4"/>
      <c r="AO96" s="4"/>
      <c r="AP96" s="4"/>
      <c r="AQ96" s="4"/>
      <c r="AR96" s="4"/>
      <c r="AS96" s="4"/>
      <c r="AT96" s="4"/>
      <c r="AU96" s="4"/>
      <c r="AV96" s="4"/>
      <c r="AW96" s="4"/>
      <c r="AX96" s="4"/>
      <c r="AY96" s="4"/>
      <c r="AZ96" s="4"/>
      <c r="BA96" s="4"/>
      <c r="BB96" s="4"/>
    </row>
    <row r="97" spans="10:54" ht="12.75" customHeight="1">
      <c r="P97" s="1"/>
      <c r="Q97" s="15"/>
      <c r="R97" s="24"/>
      <c r="S97" s="20"/>
      <c r="T97" s="5"/>
      <c r="U97" s="5"/>
      <c r="V97" s="5"/>
      <c r="W97" s="5"/>
      <c r="X97" s="5"/>
      <c r="Y97" s="5"/>
      <c r="Z97" s="5"/>
      <c r="AA97" s="5"/>
      <c r="AB97" s="5"/>
      <c r="AC97" s="5"/>
      <c r="AG97" s="4"/>
      <c r="AH97" s="4"/>
      <c r="AI97" s="4"/>
      <c r="AJ97" s="4"/>
      <c r="AK97" s="4"/>
      <c r="AL97" s="4"/>
      <c r="AM97" s="4"/>
      <c r="AN97" s="4"/>
      <c r="AO97" s="4"/>
      <c r="AP97" s="4"/>
      <c r="AQ97" s="4"/>
      <c r="AR97" s="4"/>
      <c r="AS97" s="4"/>
      <c r="AT97" s="4"/>
      <c r="AU97" s="4"/>
      <c r="AV97" s="4"/>
      <c r="AW97" s="4"/>
      <c r="AX97" s="4"/>
      <c r="AY97" s="4"/>
      <c r="AZ97" s="4"/>
      <c r="BA97" s="4"/>
      <c r="BB97" s="4"/>
    </row>
    <row r="98" spans="10:54" ht="12.75" customHeight="1">
      <c r="P98" s="1"/>
      <c r="Q98" s="15"/>
      <c r="R98" s="24"/>
      <c r="S98" s="20"/>
      <c r="T98" s="5"/>
      <c r="U98" s="5"/>
      <c r="V98" s="5"/>
      <c r="W98" s="5"/>
      <c r="X98" s="5"/>
      <c r="Y98" s="5"/>
      <c r="Z98" s="5"/>
      <c r="AA98" s="5"/>
      <c r="AB98" s="5"/>
      <c r="AC98" s="5"/>
      <c r="AG98" s="4"/>
      <c r="AH98" s="4"/>
      <c r="AI98" s="4"/>
      <c r="AJ98" s="4"/>
      <c r="AK98" s="4"/>
      <c r="AL98" s="4"/>
      <c r="AM98" s="4"/>
      <c r="AN98" s="4"/>
      <c r="AO98" s="4"/>
      <c r="AP98" s="4"/>
      <c r="AQ98" s="4"/>
      <c r="AR98" s="4"/>
      <c r="AS98" s="4"/>
      <c r="AT98" s="4"/>
      <c r="AU98" s="4"/>
      <c r="AV98" s="4"/>
      <c r="AW98" s="4"/>
      <c r="AX98" s="4"/>
      <c r="AY98" s="4"/>
      <c r="AZ98" s="4"/>
      <c r="BA98" s="4"/>
      <c r="BB98" s="4"/>
    </row>
    <row r="99" spans="10:54" ht="12.75" customHeight="1">
      <c r="P99" s="1"/>
      <c r="Q99" s="15"/>
      <c r="R99" s="24"/>
      <c r="S99" s="20"/>
      <c r="T99" s="5"/>
      <c r="U99" s="5"/>
      <c r="V99" s="5"/>
      <c r="W99" s="5"/>
      <c r="X99" s="5"/>
      <c r="Y99" s="5"/>
      <c r="Z99" s="5"/>
      <c r="AA99" s="5"/>
      <c r="AB99" s="5"/>
      <c r="AC99" s="5"/>
      <c r="AG99" s="4"/>
      <c r="AH99" s="4"/>
      <c r="AI99" s="4"/>
      <c r="AJ99" s="4"/>
      <c r="AK99" s="4"/>
      <c r="AL99" s="4"/>
      <c r="AM99" s="4"/>
      <c r="AN99" s="4"/>
      <c r="AO99" s="4"/>
      <c r="AP99" s="4"/>
      <c r="AQ99" s="4"/>
      <c r="AR99" s="4"/>
      <c r="AS99" s="4"/>
      <c r="AT99" s="4"/>
      <c r="AU99" s="4"/>
      <c r="AV99" s="4"/>
      <c r="AW99" s="4"/>
      <c r="AX99" s="4"/>
      <c r="AY99" s="4"/>
      <c r="AZ99" s="4"/>
      <c r="BA99" s="4"/>
      <c r="BB99" s="4"/>
    </row>
    <row r="100" spans="10:54" ht="12.75" customHeight="1">
      <c r="K100" s="17"/>
      <c r="P100" s="1"/>
      <c r="Q100" s="15"/>
      <c r="R100" s="24"/>
      <c r="S100" s="20"/>
      <c r="T100" s="5"/>
      <c r="U100" s="5"/>
      <c r="V100" s="5"/>
      <c r="W100" s="5"/>
      <c r="X100" s="5"/>
      <c r="Y100" s="5"/>
      <c r="Z100" s="5"/>
      <c r="AA100" s="5"/>
      <c r="AB100" s="5"/>
      <c r="AC100" s="5"/>
      <c r="AG100" s="4"/>
      <c r="AH100" s="4"/>
      <c r="AI100" s="4"/>
      <c r="AJ100" s="4"/>
      <c r="AK100" s="4"/>
      <c r="AL100" s="4"/>
      <c r="AM100" s="4"/>
      <c r="AN100" s="4"/>
      <c r="AO100" s="4"/>
      <c r="AP100" s="4"/>
      <c r="AQ100" s="4"/>
      <c r="AR100" s="4"/>
      <c r="AS100" s="4"/>
      <c r="AT100" s="4"/>
      <c r="AU100" s="4"/>
      <c r="AV100" s="4"/>
      <c r="AW100" s="4"/>
      <c r="AX100" s="4"/>
      <c r="AY100" s="4"/>
      <c r="AZ100" s="4"/>
      <c r="BA100" s="4"/>
      <c r="BB100" s="4"/>
    </row>
    <row r="101" spans="10:54" ht="12.75" customHeight="1">
      <c r="J101" s="17"/>
      <c r="K101" s="18"/>
      <c r="P101" s="1"/>
      <c r="Q101" s="15"/>
      <c r="R101" s="24"/>
      <c r="S101" s="20"/>
      <c r="T101" s="5"/>
      <c r="U101" s="5"/>
      <c r="V101" s="5"/>
      <c r="W101" s="5"/>
      <c r="X101" s="5"/>
      <c r="Y101" s="5"/>
      <c r="Z101" s="5"/>
      <c r="AA101" s="5"/>
      <c r="AB101" s="5"/>
      <c r="AC101" s="5"/>
      <c r="AG101" s="4"/>
      <c r="AH101" s="4"/>
      <c r="AI101" s="4"/>
      <c r="AJ101" s="4"/>
      <c r="AK101" s="4"/>
      <c r="AL101" s="4"/>
      <c r="AM101" s="4"/>
      <c r="AN101" s="4"/>
      <c r="AO101" s="4"/>
      <c r="AP101" s="4"/>
      <c r="AQ101" s="4"/>
      <c r="AR101" s="4"/>
      <c r="AS101" s="4"/>
      <c r="AT101" s="4"/>
      <c r="AU101" s="4"/>
      <c r="AV101" s="4"/>
      <c r="AW101" s="4"/>
      <c r="AX101" s="4"/>
      <c r="AY101" s="4"/>
      <c r="AZ101" s="4"/>
      <c r="BA101" s="4"/>
      <c r="BB101" s="4"/>
    </row>
    <row r="102" spans="10:54" ht="12.75" customHeight="1">
      <c r="J102" s="17"/>
      <c r="K102" s="19"/>
      <c r="P102" s="1"/>
      <c r="Q102" s="15"/>
      <c r="R102" s="24"/>
      <c r="S102" s="20"/>
      <c r="T102" s="5"/>
      <c r="U102" s="5"/>
      <c r="V102" s="5"/>
      <c r="W102" s="5"/>
      <c r="X102" s="5"/>
      <c r="Y102" s="5"/>
      <c r="Z102" s="5"/>
      <c r="AA102" s="5"/>
      <c r="AB102" s="5"/>
      <c r="AC102" s="5"/>
      <c r="AG102" s="4"/>
      <c r="AH102" s="4"/>
      <c r="AI102" s="4"/>
      <c r="AJ102" s="4"/>
      <c r="AK102" s="4"/>
      <c r="AL102" s="4"/>
      <c r="AM102" s="4"/>
      <c r="AN102" s="4"/>
      <c r="AO102" s="4"/>
      <c r="AP102" s="4"/>
      <c r="AQ102" s="4"/>
      <c r="AR102" s="4"/>
      <c r="AS102" s="4"/>
      <c r="AT102" s="4"/>
      <c r="AU102" s="4"/>
      <c r="AV102" s="4"/>
      <c r="AW102" s="4"/>
      <c r="AX102" s="4"/>
      <c r="AY102" s="4"/>
      <c r="AZ102" s="4"/>
      <c r="BA102" s="4"/>
      <c r="BB102" s="4"/>
    </row>
    <row r="103" spans="10:54" ht="12.75" customHeight="1">
      <c r="P103" s="1"/>
      <c r="Q103" s="15"/>
      <c r="R103" s="24"/>
      <c r="S103" s="20"/>
      <c r="T103" s="5"/>
      <c r="U103" s="5"/>
      <c r="V103" s="5"/>
      <c r="W103" s="5"/>
      <c r="X103" s="5"/>
      <c r="Y103" s="5"/>
      <c r="Z103" s="5"/>
      <c r="AA103" s="5"/>
      <c r="AB103" s="5"/>
      <c r="AC103" s="5"/>
      <c r="AG103" s="4"/>
      <c r="AH103" s="4"/>
      <c r="AI103" s="4"/>
      <c r="AJ103" s="4"/>
      <c r="AK103" s="4"/>
      <c r="AL103" s="4"/>
      <c r="AM103" s="4"/>
      <c r="AN103" s="4"/>
      <c r="AO103" s="4"/>
      <c r="AP103" s="4"/>
      <c r="AQ103" s="4"/>
      <c r="AR103" s="4"/>
      <c r="AS103" s="4"/>
      <c r="AT103" s="4"/>
      <c r="AU103" s="4"/>
      <c r="AV103" s="4"/>
      <c r="AW103" s="4"/>
      <c r="AX103" s="4"/>
      <c r="AY103" s="4"/>
      <c r="AZ103" s="4"/>
      <c r="BA103" s="4"/>
      <c r="BB103" s="4"/>
    </row>
    <row r="104" spans="10:54" ht="12.75" customHeight="1">
      <c r="P104" s="1"/>
      <c r="Q104" s="15"/>
      <c r="R104" s="24"/>
      <c r="S104" s="20"/>
      <c r="T104" s="5"/>
      <c r="U104" s="5"/>
      <c r="V104" s="5"/>
      <c r="W104" s="5"/>
      <c r="X104" s="5"/>
      <c r="Y104" s="5"/>
      <c r="Z104" s="5"/>
      <c r="AA104" s="5"/>
      <c r="AB104" s="5"/>
      <c r="AC104" s="5"/>
      <c r="AG104" s="4"/>
      <c r="AH104" s="4"/>
      <c r="AI104" s="4"/>
      <c r="AJ104" s="4"/>
      <c r="AK104" s="4"/>
      <c r="AL104" s="4"/>
      <c r="AM104" s="4"/>
      <c r="AN104" s="4"/>
      <c r="AO104" s="4"/>
      <c r="AP104" s="4"/>
      <c r="AQ104" s="4"/>
      <c r="AR104" s="4"/>
      <c r="AS104" s="4"/>
      <c r="AT104" s="4"/>
      <c r="AU104" s="4"/>
      <c r="AV104" s="4"/>
      <c r="AW104" s="4"/>
      <c r="AX104" s="4"/>
      <c r="AY104" s="4"/>
      <c r="AZ104" s="4"/>
      <c r="BA104" s="4"/>
      <c r="BB104" s="4"/>
    </row>
    <row r="105" spans="10:54" ht="12.75" customHeight="1">
      <c r="P105" s="1"/>
      <c r="Q105" s="15"/>
      <c r="R105" s="24"/>
      <c r="S105" s="20"/>
      <c r="T105" s="5"/>
      <c r="U105" s="5"/>
      <c r="V105" s="5"/>
      <c r="W105" s="5"/>
      <c r="X105" s="5"/>
      <c r="Y105" s="5"/>
      <c r="Z105" s="5"/>
      <c r="AA105" s="5"/>
      <c r="AB105" s="5"/>
      <c r="AC105" s="5"/>
      <c r="AG105" s="4"/>
      <c r="AH105" s="4"/>
      <c r="AI105" s="4"/>
      <c r="AJ105" s="4"/>
      <c r="AK105" s="4"/>
      <c r="AL105" s="4"/>
      <c r="AM105" s="4"/>
      <c r="AN105" s="4"/>
      <c r="AO105" s="4"/>
      <c r="AP105" s="4"/>
      <c r="AQ105" s="4"/>
      <c r="AR105" s="4"/>
      <c r="AS105" s="4"/>
      <c r="AT105" s="4"/>
      <c r="AU105" s="4"/>
      <c r="AV105" s="4"/>
      <c r="AW105" s="4"/>
      <c r="AX105" s="4"/>
      <c r="AY105" s="4"/>
      <c r="AZ105" s="4"/>
      <c r="BA105" s="4"/>
      <c r="BB105" s="4"/>
    </row>
    <row r="106" spans="10:54" ht="12.75" customHeight="1">
      <c r="P106" s="1"/>
      <c r="Q106" s="15"/>
      <c r="R106" s="24"/>
      <c r="S106" s="20"/>
      <c r="T106" s="5"/>
      <c r="U106" s="5"/>
      <c r="V106" s="5"/>
      <c r="W106" s="5"/>
      <c r="X106" s="5"/>
      <c r="Y106" s="5"/>
      <c r="Z106" s="5"/>
      <c r="AA106" s="5"/>
      <c r="AB106" s="5"/>
      <c r="AC106" s="5"/>
      <c r="AG106" s="4"/>
      <c r="AH106" s="4"/>
      <c r="AI106" s="4"/>
      <c r="AJ106" s="4"/>
      <c r="AK106" s="4"/>
      <c r="AL106" s="4"/>
      <c r="AM106" s="4"/>
      <c r="AN106" s="4"/>
      <c r="AO106" s="4"/>
      <c r="AP106" s="4"/>
      <c r="AQ106" s="4"/>
      <c r="AR106" s="4"/>
      <c r="AS106" s="4"/>
      <c r="AT106" s="4"/>
      <c r="AU106" s="4"/>
      <c r="AV106" s="4"/>
      <c r="AW106" s="4"/>
      <c r="AX106" s="4"/>
      <c r="AY106" s="4"/>
      <c r="AZ106" s="4"/>
      <c r="BA106" s="4"/>
      <c r="BB106" s="4"/>
    </row>
    <row r="107" spans="10:54" ht="12.75" customHeight="1">
      <c r="P107" s="1"/>
      <c r="Q107" s="15"/>
      <c r="R107" s="24"/>
      <c r="S107" s="20"/>
      <c r="T107" s="5"/>
      <c r="U107" s="5"/>
      <c r="V107" s="5"/>
      <c r="W107" s="5"/>
      <c r="X107" s="5"/>
      <c r="Y107" s="5"/>
      <c r="Z107" s="5"/>
      <c r="AA107" s="5"/>
      <c r="AB107" s="5"/>
      <c r="AC107" s="5"/>
      <c r="AG107" s="4"/>
      <c r="AH107" s="4"/>
      <c r="AI107" s="4"/>
      <c r="AJ107" s="4"/>
      <c r="AK107" s="4"/>
      <c r="AL107" s="4"/>
      <c r="AM107" s="4"/>
      <c r="AN107" s="4"/>
      <c r="AO107" s="4"/>
      <c r="AP107" s="4"/>
      <c r="AQ107" s="4"/>
      <c r="AR107" s="4"/>
      <c r="AS107" s="4"/>
      <c r="AT107" s="4"/>
      <c r="AU107" s="4"/>
      <c r="AV107" s="4"/>
      <c r="AW107" s="4"/>
      <c r="AX107" s="4"/>
      <c r="AY107" s="4"/>
      <c r="AZ107" s="4"/>
      <c r="BA107" s="4"/>
      <c r="BB107" s="4"/>
    </row>
    <row r="108" spans="10:54" ht="12.75" customHeight="1">
      <c r="P108" s="1"/>
      <c r="Q108" s="15"/>
      <c r="R108" s="24"/>
      <c r="S108" s="20"/>
      <c r="T108" s="5"/>
      <c r="U108" s="5"/>
      <c r="V108" s="5"/>
      <c r="W108" s="5"/>
      <c r="X108" s="5"/>
      <c r="Y108" s="5"/>
      <c r="Z108" s="5"/>
      <c r="AA108" s="5"/>
      <c r="AB108" s="5"/>
      <c r="AC108" s="5"/>
      <c r="AG108" s="4"/>
      <c r="AH108" s="4"/>
      <c r="AI108" s="4"/>
      <c r="AJ108" s="4"/>
      <c r="AK108" s="4"/>
      <c r="AL108" s="4"/>
      <c r="AM108" s="4"/>
      <c r="AN108" s="4"/>
      <c r="AO108" s="4"/>
      <c r="AP108" s="4"/>
      <c r="AQ108" s="4"/>
      <c r="AR108" s="4"/>
      <c r="AS108" s="4"/>
      <c r="AT108" s="4"/>
      <c r="AU108" s="4"/>
      <c r="AV108" s="4"/>
      <c r="AW108" s="4"/>
      <c r="AX108" s="4"/>
      <c r="AY108" s="4"/>
      <c r="AZ108" s="4"/>
      <c r="BA108" s="4"/>
      <c r="BB108" s="4"/>
    </row>
    <row r="109" spans="10:54" ht="12.75" customHeight="1">
      <c r="P109" s="1"/>
      <c r="Q109" s="15"/>
      <c r="R109" s="24"/>
      <c r="S109" s="20"/>
      <c r="T109" s="5"/>
      <c r="U109" s="5"/>
      <c r="V109" s="5"/>
      <c r="W109" s="5"/>
      <c r="X109" s="5"/>
      <c r="Y109" s="5"/>
      <c r="Z109" s="5"/>
      <c r="AA109" s="5"/>
      <c r="AB109" s="5"/>
      <c r="AC109" s="5"/>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0:54" ht="12.75" customHeight="1">
      <c r="P110" s="1"/>
      <c r="Q110" s="15"/>
      <c r="R110" s="24"/>
      <c r="S110" s="20"/>
      <c r="T110" s="5"/>
      <c r="U110" s="5"/>
      <c r="V110" s="5"/>
      <c r="W110" s="5"/>
      <c r="X110" s="5"/>
      <c r="Y110" s="5"/>
      <c r="Z110" s="5"/>
      <c r="AA110" s="5"/>
      <c r="AB110" s="5"/>
      <c r="AC110" s="5"/>
      <c r="AD110" s="5"/>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0:54" ht="12.75" customHeight="1">
      <c r="P111" s="1"/>
      <c r="Q111" s="15"/>
      <c r="R111" s="24"/>
      <c r="S111" s="20"/>
      <c r="T111" s="5"/>
      <c r="U111" s="5"/>
      <c r="V111" s="5"/>
      <c r="W111" s="5"/>
      <c r="X111" s="5"/>
      <c r="Y111" s="5"/>
      <c r="Z111" s="5"/>
      <c r="AA111" s="5"/>
      <c r="AB111" s="5"/>
      <c r="AC111" s="5"/>
      <c r="AD111" s="5"/>
      <c r="AG111" s="4"/>
      <c r="AH111" s="4"/>
      <c r="AI111" s="4"/>
      <c r="AJ111" s="4"/>
      <c r="AK111" s="4"/>
      <c r="AL111" s="4"/>
      <c r="AM111" s="4"/>
      <c r="AN111" s="4"/>
      <c r="AO111" s="4"/>
      <c r="AP111" s="4"/>
      <c r="AQ111" s="4"/>
      <c r="AR111" s="4"/>
      <c r="AS111" s="4"/>
      <c r="AT111" s="4"/>
      <c r="AU111" s="4"/>
      <c r="AV111" s="4"/>
      <c r="AW111" s="4"/>
      <c r="AX111" s="4"/>
      <c r="AY111" s="4"/>
      <c r="AZ111" s="4"/>
      <c r="BA111" s="4"/>
      <c r="BB111" s="4"/>
    </row>
    <row r="112" spans="10:54" ht="12.75" customHeight="1">
      <c r="P112" s="1"/>
      <c r="Q112" s="15"/>
      <c r="R112" s="24"/>
      <c r="S112" s="20"/>
      <c r="T112" s="5"/>
      <c r="U112" s="5"/>
      <c r="V112" s="5"/>
      <c r="W112" s="5"/>
      <c r="X112" s="5"/>
      <c r="Y112" s="5"/>
      <c r="Z112" s="5"/>
      <c r="AA112" s="5"/>
      <c r="AB112" s="5"/>
      <c r="AC112" s="5"/>
      <c r="AD112" s="5"/>
      <c r="AG112" s="4"/>
      <c r="AH112" s="4"/>
      <c r="AI112" s="4"/>
      <c r="AJ112" s="4"/>
      <c r="AK112" s="4"/>
      <c r="AL112" s="4"/>
      <c r="AM112" s="4"/>
      <c r="AN112" s="4"/>
      <c r="AO112" s="4"/>
      <c r="AP112" s="4"/>
      <c r="AQ112" s="4"/>
      <c r="AR112" s="4"/>
      <c r="AS112" s="4"/>
      <c r="AT112" s="4"/>
      <c r="AU112" s="4"/>
      <c r="AV112" s="4"/>
      <c r="AW112" s="4"/>
      <c r="AX112" s="4"/>
      <c r="AY112" s="4"/>
      <c r="AZ112" s="4"/>
      <c r="BA112" s="4"/>
      <c r="BB112" s="4"/>
    </row>
    <row r="113" spans="16:30" s="4" customFormat="1" ht="12.75" customHeight="1">
      <c r="P113" s="1"/>
      <c r="Q113" s="15"/>
      <c r="R113" s="24"/>
      <c r="S113" s="20"/>
      <c r="T113" s="5"/>
      <c r="U113" s="5"/>
      <c r="V113" s="5"/>
      <c r="W113" s="5"/>
      <c r="X113" s="5"/>
      <c r="Y113" s="5"/>
      <c r="Z113" s="5"/>
      <c r="AA113" s="5"/>
      <c r="AB113" s="5"/>
      <c r="AC113" s="5"/>
      <c r="AD113" s="5"/>
    </row>
    <row r="114" spans="16:30" s="4" customFormat="1" ht="12.75" customHeight="1">
      <c r="P114" s="1"/>
      <c r="Q114" s="15"/>
      <c r="R114" s="24"/>
      <c r="S114" s="20"/>
      <c r="T114" s="5"/>
      <c r="U114" s="5"/>
      <c r="V114" s="5"/>
      <c r="W114" s="5"/>
      <c r="X114" s="5"/>
      <c r="Y114" s="5"/>
      <c r="Z114" s="5"/>
      <c r="AA114" s="5"/>
      <c r="AB114" s="5"/>
      <c r="AC114" s="5"/>
      <c r="AD114" s="5"/>
    </row>
    <row r="115" spans="16:30" s="4" customFormat="1" ht="12.75" customHeight="1">
      <c r="P115" s="1"/>
      <c r="Q115" s="15"/>
      <c r="R115" s="24"/>
      <c r="S115" s="20"/>
      <c r="T115" s="5"/>
      <c r="U115" s="5"/>
      <c r="V115" s="5"/>
      <c r="W115" s="5"/>
      <c r="X115" s="5"/>
      <c r="Y115" s="5"/>
      <c r="Z115" s="5"/>
      <c r="AA115" s="5"/>
      <c r="AB115" s="5"/>
      <c r="AC115" s="5"/>
      <c r="AD115" s="5"/>
    </row>
    <row r="116" spans="16:30" s="4" customFormat="1" ht="12.75" customHeight="1">
      <c r="P116" s="1"/>
      <c r="Q116" s="15"/>
      <c r="R116" s="24"/>
      <c r="S116" s="20"/>
      <c r="T116" s="5"/>
      <c r="U116" s="5"/>
      <c r="V116" s="5"/>
      <c r="W116" s="5"/>
      <c r="X116" s="5"/>
      <c r="Y116" s="5"/>
      <c r="Z116" s="5"/>
      <c r="AA116" s="5"/>
      <c r="AB116" s="5"/>
      <c r="AC116" s="5"/>
      <c r="AD116" s="5"/>
    </row>
    <row r="117" spans="16:30" s="4" customFormat="1" ht="12.75" customHeight="1">
      <c r="P117" s="1"/>
      <c r="Q117" s="15"/>
      <c r="R117" s="24"/>
      <c r="S117" s="20"/>
      <c r="T117" s="5"/>
      <c r="U117" s="5"/>
      <c r="V117" s="5"/>
      <c r="W117" s="5"/>
      <c r="X117" s="5"/>
      <c r="Y117" s="5"/>
      <c r="Z117" s="5"/>
      <c r="AA117" s="5"/>
      <c r="AB117" s="5"/>
      <c r="AC117" s="5"/>
      <c r="AD117" s="5"/>
    </row>
    <row r="118" spans="16:30" s="4" customFormat="1" ht="12.75" customHeight="1">
      <c r="P118" s="1"/>
      <c r="Q118" s="15"/>
      <c r="R118" s="24"/>
      <c r="S118" s="20"/>
      <c r="T118" s="5"/>
      <c r="U118" s="5"/>
      <c r="V118" s="5"/>
      <c r="W118" s="5"/>
      <c r="X118" s="5"/>
      <c r="Y118" s="5"/>
      <c r="Z118" s="5"/>
      <c r="AA118" s="5"/>
      <c r="AB118" s="5"/>
      <c r="AC118" s="5"/>
      <c r="AD118" s="5"/>
    </row>
    <row r="119" spans="16:30" s="4" customFormat="1" ht="12.75" customHeight="1">
      <c r="P119" s="1"/>
      <c r="Q119" s="15"/>
      <c r="R119" s="24"/>
      <c r="S119" s="20"/>
      <c r="T119" s="5"/>
      <c r="U119" s="5"/>
      <c r="V119" s="5"/>
      <c r="W119" s="5"/>
      <c r="X119" s="5"/>
      <c r="Y119" s="5"/>
      <c r="Z119" s="5"/>
      <c r="AA119" s="5"/>
      <c r="AB119" s="5"/>
      <c r="AC119" s="5"/>
      <c r="AD119" s="5"/>
    </row>
    <row r="120" spans="16:30" s="4" customFormat="1" ht="12.75" customHeight="1">
      <c r="P120" s="1"/>
      <c r="Q120" s="15"/>
      <c r="R120" s="24"/>
      <c r="S120" s="20"/>
      <c r="T120" s="5"/>
      <c r="U120" s="5"/>
      <c r="V120" s="5"/>
      <c r="W120" s="5"/>
      <c r="X120" s="5"/>
      <c r="Y120" s="5"/>
      <c r="Z120" s="5"/>
      <c r="AA120" s="5"/>
      <c r="AB120" s="5"/>
      <c r="AC120" s="5"/>
      <c r="AD120" s="5"/>
    </row>
    <row r="121" spans="16:30" s="4" customFormat="1" ht="12.75" customHeight="1">
      <c r="P121" s="1"/>
      <c r="Q121" s="15"/>
      <c r="R121" s="24"/>
      <c r="S121" s="20"/>
      <c r="T121" s="5"/>
      <c r="U121" s="5"/>
      <c r="V121" s="5"/>
      <c r="W121" s="5"/>
      <c r="X121" s="5"/>
      <c r="Y121" s="5"/>
      <c r="Z121" s="5"/>
      <c r="AA121" s="5"/>
      <c r="AB121" s="5"/>
      <c r="AC121" s="5"/>
      <c r="AD121" s="5"/>
    </row>
    <row r="122" spans="16:30" s="4" customFormat="1" ht="12.75" customHeight="1">
      <c r="P122" s="1"/>
      <c r="Q122" s="15"/>
      <c r="R122" s="24"/>
      <c r="S122" s="20"/>
      <c r="T122" s="5"/>
      <c r="U122" s="5"/>
      <c r="V122" s="5"/>
      <c r="W122" s="5"/>
      <c r="X122" s="5"/>
      <c r="Y122" s="5"/>
      <c r="Z122" s="5"/>
      <c r="AA122" s="5"/>
      <c r="AB122" s="5"/>
      <c r="AC122" s="5"/>
      <c r="AD122" s="5"/>
    </row>
    <row r="123" spans="16:30" s="4" customFormat="1" ht="12.75" customHeight="1">
      <c r="P123" s="1"/>
      <c r="Q123" s="15"/>
      <c r="R123" s="24"/>
      <c r="S123" s="20"/>
      <c r="T123" s="5"/>
      <c r="U123" s="5"/>
      <c r="V123" s="5"/>
      <c r="W123" s="5"/>
      <c r="X123" s="5"/>
      <c r="Y123" s="5"/>
      <c r="Z123" s="5"/>
      <c r="AA123" s="5"/>
      <c r="AB123" s="5"/>
      <c r="AC123" s="5"/>
      <c r="AD123" s="5"/>
    </row>
    <row r="124" spans="16:30" s="4" customFormat="1" ht="12.75" customHeight="1">
      <c r="P124" s="1"/>
      <c r="Q124" s="15"/>
      <c r="R124" s="24"/>
      <c r="S124" s="20"/>
      <c r="T124" s="5"/>
      <c r="U124" s="5"/>
      <c r="V124" s="5"/>
      <c r="W124" s="5"/>
      <c r="X124" s="5"/>
      <c r="Y124" s="5"/>
      <c r="Z124" s="5"/>
      <c r="AA124" s="5"/>
      <c r="AB124" s="5"/>
      <c r="AC124" s="5"/>
      <c r="AD124" s="5"/>
    </row>
    <row r="125" spans="16:30" s="4" customFormat="1" ht="12.75" customHeight="1">
      <c r="P125" s="1"/>
      <c r="Q125" s="15"/>
      <c r="R125" s="24"/>
      <c r="S125" s="20"/>
      <c r="T125" s="5"/>
      <c r="U125" s="5"/>
      <c r="V125" s="5"/>
      <c r="W125" s="5"/>
      <c r="X125" s="5"/>
      <c r="Y125" s="5"/>
      <c r="Z125" s="5"/>
      <c r="AA125" s="5"/>
      <c r="AB125" s="5"/>
      <c r="AC125" s="5"/>
      <c r="AD125" s="5"/>
    </row>
    <row r="126" spans="16:30" s="4" customFormat="1" ht="12.75" customHeight="1">
      <c r="P126" s="1"/>
      <c r="Q126" s="15"/>
      <c r="R126" s="24"/>
      <c r="S126" s="20"/>
      <c r="T126" s="5"/>
      <c r="U126" s="5"/>
      <c r="V126" s="5"/>
      <c r="W126" s="5"/>
      <c r="X126" s="5"/>
      <c r="Y126" s="5"/>
      <c r="Z126" s="5"/>
      <c r="AA126" s="5"/>
      <c r="AB126" s="5"/>
      <c r="AC126" s="5"/>
      <c r="AD126" s="5"/>
    </row>
    <row r="127" spans="16:30" s="4" customFormat="1" ht="12.75" customHeight="1">
      <c r="P127" s="1"/>
      <c r="Q127" s="15"/>
      <c r="R127" s="24"/>
      <c r="S127" s="20"/>
      <c r="T127" s="5"/>
      <c r="U127" s="5"/>
      <c r="V127" s="5"/>
      <c r="W127" s="5"/>
      <c r="X127" s="5"/>
      <c r="Y127" s="5"/>
      <c r="Z127" s="5"/>
      <c r="AA127" s="5"/>
      <c r="AB127" s="5"/>
      <c r="AC127" s="5"/>
      <c r="AD127" s="5"/>
    </row>
    <row r="128" spans="16:30" s="4" customFormat="1" ht="12.75" customHeight="1">
      <c r="P128" s="1"/>
      <c r="Q128" s="15"/>
      <c r="R128" s="24"/>
      <c r="S128" s="20"/>
      <c r="T128" s="5"/>
      <c r="U128" s="5"/>
      <c r="V128" s="5"/>
      <c r="W128" s="5"/>
      <c r="X128" s="5"/>
      <c r="Y128" s="5"/>
      <c r="Z128" s="5"/>
      <c r="AA128" s="5"/>
      <c r="AB128" s="5"/>
      <c r="AC128" s="5"/>
      <c r="AD128" s="5"/>
    </row>
    <row r="129" spans="16:30" s="4" customFormat="1" ht="12.75" customHeight="1">
      <c r="P129" s="1"/>
      <c r="Q129" s="15"/>
      <c r="R129" s="24"/>
      <c r="S129" s="20"/>
      <c r="T129" s="5"/>
      <c r="U129" s="5"/>
      <c r="V129" s="5"/>
      <c r="W129" s="5"/>
      <c r="X129" s="5"/>
      <c r="Y129" s="5"/>
      <c r="Z129" s="5"/>
      <c r="AA129" s="5"/>
      <c r="AB129" s="5"/>
      <c r="AC129" s="5"/>
      <c r="AD129" s="5"/>
    </row>
    <row r="130" spans="16:30" s="4" customFormat="1" ht="12.75" customHeight="1">
      <c r="P130" s="1"/>
      <c r="Q130" s="15"/>
      <c r="R130" s="24"/>
      <c r="S130" s="20"/>
      <c r="T130" s="5"/>
      <c r="U130" s="5"/>
      <c r="V130" s="5"/>
      <c r="W130" s="5"/>
      <c r="X130" s="5"/>
      <c r="Y130" s="5"/>
      <c r="Z130" s="5"/>
      <c r="AA130" s="5"/>
      <c r="AB130" s="5"/>
      <c r="AC130" s="5"/>
      <c r="AD130" s="5"/>
    </row>
    <row r="131" spans="16:30" s="4" customFormat="1" ht="12.75" customHeight="1">
      <c r="P131" s="1"/>
      <c r="Q131" s="15"/>
      <c r="R131" s="24"/>
      <c r="S131" s="20"/>
      <c r="T131" s="5"/>
      <c r="U131" s="5"/>
      <c r="V131" s="5"/>
      <c r="W131" s="5"/>
      <c r="X131" s="5"/>
      <c r="Y131" s="5"/>
      <c r="Z131" s="5"/>
      <c r="AA131" s="5"/>
      <c r="AB131" s="5"/>
      <c r="AC131" s="5"/>
      <c r="AD131" s="5"/>
    </row>
    <row r="132" spans="16:30" s="4" customFormat="1" ht="12.75" customHeight="1">
      <c r="P132" s="1"/>
      <c r="Q132" s="15"/>
      <c r="R132" s="24"/>
      <c r="S132" s="20"/>
      <c r="T132" s="5"/>
      <c r="U132" s="5"/>
      <c r="V132" s="5"/>
      <c r="W132" s="5"/>
      <c r="X132" s="5"/>
      <c r="Y132" s="5"/>
      <c r="Z132" s="5"/>
      <c r="AA132" s="5"/>
      <c r="AB132" s="5"/>
      <c r="AC132" s="5"/>
      <c r="AD132" s="5"/>
    </row>
    <row r="133" spans="16:30" s="4" customFormat="1" ht="12.75" customHeight="1">
      <c r="P133" s="1"/>
      <c r="Q133" s="15"/>
      <c r="R133" s="24"/>
      <c r="S133" s="20"/>
      <c r="T133" s="5"/>
      <c r="U133" s="5"/>
      <c r="V133" s="5"/>
      <c r="W133" s="5"/>
      <c r="X133" s="5"/>
      <c r="Y133" s="5"/>
      <c r="Z133" s="5"/>
      <c r="AA133" s="5"/>
      <c r="AB133" s="5"/>
      <c r="AC133" s="5"/>
      <c r="AD133" s="5"/>
    </row>
    <row r="134" spans="16:30" s="4" customFormat="1" ht="12.75" customHeight="1">
      <c r="P134" s="1"/>
      <c r="Q134" s="15"/>
      <c r="R134" s="24"/>
      <c r="S134" s="20"/>
      <c r="T134" s="5"/>
      <c r="U134" s="5"/>
      <c r="V134" s="5"/>
      <c r="W134" s="5"/>
      <c r="X134" s="5"/>
      <c r="Y134" s="5"/>
      <c r="Z134" s="5"/>
      <c r="AA134" s="5"/>
      <c r="AB134" s="5"/>
      <c r="AC134" s="5"/>
      <c r="AD134" s="5"/>
    </row>
    <row r="135" spans="16:30" s="4" customFormat="1" ht="12.75" customHeight="1">
      <c r="P135" s="1"/>
      <c r="Q135" s="15"/>
      <c r="R135" s="24"/>
      <c r="S135" s="20"/>
      <c r="T135" s="5"/>
      <c r="U135" s="5"/>
      <c r="V135" s="5"/>
      <c r="W135" s="5"/>
      <c r="X135" s="5"/>
      <c r="Y135" s="5"/>
      <c r="Z135" s="5"/>
      <c r="AA135" s="5"/>
      <c r="AB135" s="5"/>
      <c r="AC135" s="5"/>
      <c r="AD135" s="5"/>
    </row>
    <row r="136" spans="16:30" s="4" customFormat="1" ht="12.75" customHeight="1">
      <c r="P136" s="1"/>
      <c r="Q136" s="15"/>
      <c r="R136" s="24"/>
      <c r="S136" s="20"/>
      <c r="T136" s="5"/>
      <c r="U136" s="5"/>
      <c r="V136" s="5"/>
      <c r="W136" s="5"/>
      <c r="X136" s="5"/>
      <c r="Y136" s="5"/>
      <c r="Z136" s="5"/>
      <c r="AA136" s="5"/>
      <c r="AB136" s="5"/>
      <c r="AC136" s="5"/>
      <c r="AD136" s="5"/>
    </row>
    <row r="137" spans="16:30" s="4" customFormat="1" ht="12.75" customHeight="1">
      <c r="P137" s="1"/>
      <c r="Q137" s="15"/>
      <c r="R137" s="24"/>
      <c r="S137" s="20"/>
      <c r="T137" s="5"/>
      <c r="U137" s="5"/>
      <c r="V137" s="5"/>
      <c r="W137" s="5"/>
      <c r="X137" s="5"/>
      <c r="Y137" s="5"/>
      <c r="Z137" s="5"/>
      <c r="AA137" s="5"/>
      <c r="AB137" s="5"/>
      <c r="AC137" s="5"/>
      <c r="AD137" s="5"/>
    </row>
    <row r="138" spans="16:30" s="4" customFormat="1" ht="12.75" customHeight="1">
      <c r="P138" s="1"/>
      <c r="Q138" s="15"/>
      <c r="R138" s="24"/>
      <c r="S138" s="20"/>
      <c r="T138" s="5"/>
      <c r="U138" s="5"/>
      <c r="V138" s="5"/>
      <c r="W138" s="5"/>
      <c r="X138" s="5"/>
      <c r="Y138" s="5"/>
      <c r="Z138" s="5"/>
      <c r="AA138" s="5"/>
      <c r="AB138" s="5"/>
      <c r="AC138" s="5"/>
      <c r="AD138" s="5"/>
    </row>
    <row r="139" spans="16:30" s="4" customFormat="1" ht="12.75" customHeight="1">
      <c r="P139" s="1"/>
      <c r="Q139" s="15"/>
      <c r="R139" s="24"/>
      <c r="S139" s="20"/>
      <c r="T139" s="5"/>
      <c r="U139" s="5"/>
      <c r="V139" s="5"/>
      <c r="W139" s="5"/>
      <c r="X139" s="5"/>
      <c r="Y139" s="5"/>
      <c r="Z139" s="5"/>
      <c r="AA139" s="5"/>
      <c r="AB139" s="5"/>
      <c r="AC139" s="5"/>
      <c r="AD139" s="5"/>
    </row>
    <row r="140" spans="16:30" s="4" customFormat="1" ht="12.75" customHeight="1">
      <c r="P140" s="1"/>
      <c r="Q140" s="15"/>
      <c r="R140" s="24"/>
      <c r="S140" s="20"/>
      <c r="T140" s="5"/>
      <c r="U140" s="5"/>
      <c r="V140" s="5"/>
      <c r="W140" s="5"/>
      <c r="X140" s="5"/>
      <c r="Y140" s="5"/>
      <c r="Z140" s="5"/>
      <c r="AA140" s="5"/>
      <c r="AB140" s="5"/>
      <c r="AC140" s="5"/>
      <c r="AD140" s="5"/>
    </row>
    <row r="141" spans="16:30" s="4" customFormat="1" ht="12.75" customHeight="1">
      <c r="P141" s="1"/>
      <c r="Q141" s="15"/>
      <c r="R141" s="24"/>
      <c r="S141" s="20"/>
      <c r="T141" s="5"/>
      <c r="U141" s="5"/>
      <c r="V141" s="5"/>
      <c r="W141" s="5"/>
      <c r="X141" s="5"/>
      <c r="Y141" s="5"/>
      <c r="Z141" s="5"/>
      <c r="AA141" s="5"/>
      <c r="AB141" s="5"/>
      <c r="AC141" s="5"/>
      <c r="AD141" s="5"/>
    </row>
    <row r="142" spans="16:30" s="4" customFormat="1" ht="12.75" customHeight="1">
      <c r="P142" s="1"/>
      <c r="Q142" s="15"/>
      <c r="R142" s="24"/>
      <c r="S142" s="20"/>
      <c r="T142" s="5"/>
      <c r="U142" s="5"/>
      <c r="V142" s="5"/>
      <c r="W142" s="5"/>
      <c r="X142" s="5"/>
      <c r="Y142" s="5"/>
      <c r="Z142" s="5"/>
      <c r="AA142" s="5"/>
      <c r="AB142" s="5"/>
      <c r="AC142" s="5"/>
      <c r="AD142" s="5"/>
    </row>
    <row r="143" spans="16:30" s="4" customFormat="1" ht="12.75" customHeight="1">
      <c r="P143" s="1"/>
      <c r="Q143" s="15"/>
      <c r="R143" s="24"/>
      <c r="S143" s="20"/>
      <c r="T143" s="5"/>
      <c r="U143" s="5"/>
      <c r="V143" s="5"/>
      <c r="W143" s="5"/>
      <c r="X143" s="5"/>
      <c r="Y143" s="5"/>
      <c r="Z143" s="5"/>
      <c r="AA143" s="5"/>
      <c r="AB143" s="5"/>
      <c r="AC143" s="5"/>
      <c r="AD143" s="5"/>
    </row>
    <row r="144" spans="16:30" s="4" customFormat="1" ht="12.75" customHeight="1">
      <c r="P144" s="1"/>
      <c r="Q144" s="15"/>
      <c r="R144" s="24"/>
      <c r="S144" s="20"/>
      <c r="T144" s="5"/>
      <c r="U144" s="5"/>
      <c r="V144" s="5"/>
      <c r="W144" s="5"/>
      <c r="X144" s="5"/>
      <c r="Y144" s="5"/>
      <c r="Z144" s="5"/>
      <c r="AA144" s="5"/>
      <c r="AB144" s="5"/>
      <c r="AC144" s="5"/>
      <c r="AD144" s="5"/>
    </row>
    <row r="145" spans="16:30" s="4" customFormat="1" ht="12.75" customHeight="1">
      <c r="P145" s="1"/>
      <c r="Q145" s="15"/>
      <c r="R145" s="24"/>
      <c r="S145" s="20"/>
      <c r="T145" s="5"/>
      <c r="U145" s="5"/>
      <c r="V145" s="5"/>
      <c r="W145" s="5"/>
      <c r="X145" s="5"/>
      <c r="Y145" s="5"/>
      <c r="Z145" s="5"/>
      <c r="AA145" s="5"/>
      <c r="AB145" s="5"/>
      <c r="AC145" s="5"/>
      <c r="AD145" s="5"/>
    </row>
    <row r="146" spans="16:30" s="4" customFormat="1" ht="12.75" customHeight="1">
      <c r="P146" s="1"/>
      <c r="Q146" s="15"/>
      <c r="R146" s="24"/>
      <c r="S146" s="20"/>
      <c r="T146" s="5"/>
      <c r="U146" s="5"/>
      <c r="V146" s="5"/>
      <c r="W146" s="5"/>
      <c r="X146" s="5"/>
      <c r="Y146" s="5"/>
      <c r="Z146" s="5"/>
      <c r="AA146" s="5"/>
      <c r="AB146" s="5"/>
      <c r="AC146" s="5"/>
      <c r="AD146" s="5"/>
    </row>
    <row r="147" spans="16:30" s="4" customFormat="1" ht="12.75" customHeight="1">
      <c r="P147" s="1"/>
      <c r="Q147" s="15"/>
      <c r="R147" s="24"/>
      <c r="S147" s="20"/>
      <c r="T147" s="5"/>
      <c r="U147" s="5"/>
      <c r="V147" s="5"/>
      <c r="W147" s="5"/>
      <c r="X147" s="5"/>
      <c r="Y147" s="5"/>
      <c r="Z147" s="5"/>
      <c r="AA147" s="5"/>
      <c r="AB147" s="5"/>
      <c r="AC147" s="5"/>
      <c r="AD147" s="5"/>
    </row>
    <row r="148" spans="16:30" s="4" customFormat="1" ht="12.75" customHeight="1">
      <c r="P148" s="1"/>
      <c r="Q148" s="15"/>
      <c r="R148" s="24"/>
      <c r="S148" s="20"/>
      <c r="T148" s="5"/>
      <c r="U148" s="5"/>
      <c r="V148" s="5"/>
      <c r="W148" s="5"/>
      <c r="X148" s="5"/>
      <c r="Y148" s="5"/>
      <c r="Z148" s="5"/>
      <c r="AA148" s="5"/>
      <c r="AB148" s="5"/>
      <c r="AC148" s="5"/>
      <c r="AD148" s="5"/>
    </row>
    <row r="149" spans="16:30" s="4" customFormat="1" ht="12.75" customHeight="1">
      <c r="P149" s="1"/>
      <c r="Q149" s="15"/>
      <c r="R149" s="24"/>
      <c r="S149" s="20"/>
      <c r="T149" s="5"/>
      <c r="U149" s="5"/>
      <c r="V149" s="5"/>
      <c r="W149" s="5"/>
      <c r="X149" s="5"/>
      <c r="Y149" s="5"/>
      <c r="Z149" s="5"/>
      <c r="AA149" s="5"/>
      <c r="AB149" s="5"/>
      <c r="AC149" s="5"/>
      <c r="AD149" s="5"/>
    </row>
    <row r="150" spans="16:30" s="4" customFormat="1" ht="12.75" customHeight="1">
      <c r="P150" s="1"/>
      <c r="Q150" s="15"/>
      <c r="R150" s="24"/>
      <c r="S150" s="20"/>
      <c r="T150" s="5"/>
      <c r="U150" s="5"/>
      <c r="V150" s="5"/>
      <c r="W150" s="5"/>
      <c r="X150" s="5"/>
      <c r="Y150" s="5"/>
      <c r="Z150" s="5"/>
      <c r="AA150" s="5"/>
      <c r="AB150" s="5"/>
      <c r="AC150" s="5"/>
      <c r="AD150" s="5"/>
    </row>
    <row r="151" spans="16:30" s="4" customFormat="1" ht="12.75" customHeight="1">
      <c r="P151" s="1"/>
      <c r="Q151" s="15"/>
      <c r="R151" s="24"/>
      <c r="S151" s="20"/>
      <c r="T151" s="5"/>
      <c r="U151" s="5"/>
      <c r="V151" s="5"/>
      <c r="W151" s="5"/>
      <c r="X151" s="5"/>
      <c r="Y151" s="5"/>
      <c r="Z151" s="5"/>
      <c r="AA151" s="5"/>
      <c r="AB151" s="5"/>
      <c r="AC151" s="5"/>
      <c r="AD151" s="5"/>
    </row>
    <row r="152" spans="16:30" s="4" customFormat="1" ht="12.75" customHeight="1">
      <c r="P152" s="1"/>
      <c r="Q152" s="15"/>
      <c r="R152" s="24"/>
      <c r="S152" s="20"/>
      <c r="T152" s="5"/>
      <c r="U152" s="5"/>
      <c r="V152" s="5"/>
      <c r="W152" s="5"/>
      <c r="X152" s="5"/>
      <c r="Y152" s="5"/>
      <c r="Z152" s="5"/>
      <c r="AA152" s="5"/>
      <c r="AB152" s="5"/>
      <c r="AC152" s="5"/>
      <c r="AD152" s="5"/>
    </row>
    <row r="153" spans="16:30" s="4" customFormat="1" ht="12.75" customHeight="1">
      <c r="P153" s="1"/>
      <c r="Q153" s="15"/>
      <c r="R153" s="24"/>
      <c r="S153" s="20"/>
      <c r="T153" s="5"/>
      <c r="U153" s="5"/>
      <c r="V153" s="5"/>
      <c r="W153" s="5"/>
      <c r="X153" s="5"/>
      <c r="Y153" s="5"/>
      <c r="Z153" s="5"/>
      <c r="AA153" s="5"/>
      <c r="AB153" s="5"/>
      <c r="AC153" s="5"/>
      <c r="AD153" s="5"/>
    </row>
    <row r="154" spans="16:30" s="4" customFormat="1" ht="12.75" customHeight="1">
      <c r="P154" s="1"/>
      <c r="Q154" s="15"/>
      <c r="R154" s="24"/>
      <c r="S154" s="20"/>
      <c r="T154" s="5"/>
      <c r="U154" s="5"/>
      <c r="V154" s="5"/>
      <c r="W154" s="5"/>
      <c r="X154" s="5"/>
      <c r="Y154" s="5"/>
      <c r="Z154" s="5"/>
      <c r="AA154" s="5"/>
      <c r="AB154" s="5"/>
      <c r="AC154" s="5"/>
      <c r="AD154" s="5"/>
    </row>
    <row r="155" spans="16:30" s="4" customFormat="1" ht="12.75" customHeight="1">
      <c r="P155" s="1"/>
      <c r="Q155" s="15"/>
      <c r="R155" s="24"/>
      <c r="S155" s="20"/>
      <c r="T155" s="5"/>
      <c r="U155" s="5"/>
      <c r="V155" s="5"/>
      <c r="W155" s="5"/>
      <c r="X155" s="5"/>
      <c r="Y155" s="5"/>
      <c r="Z155" s="5"/>
      <c r="AA155" s="5"/>
      <c r="AB155" s="5"/>
      <c r="AC155" s="5"/>
      <c r="AD155" s="5"/>
    </row>
    <row r="156" spans="16:30" s="4" customFormat="1" ht="12.75" customHeight="1">
      <c r="P156" s="1"/>
      <c r="Q156" s="15"/>
      <c r="R156" s="24"/>
      <c r="S156" s="20"/>
      <c r="T156" s="5"/>
      <c r="U156" s="5"/>
      <c r="V156" s="5"/>
      <c r="W156" s="5"/>
      <c r="X156" s="5"/>
      <c r="Y156" s="5"/>
      <c r="Z156" s="5"/>
      <c r="AA156" s="5"/>
      <c r="AB156" s="5"/>
      <c r="AC156" s="5"/>
      <c r="AD156" s="5"/>
    </row>
    <row r="157" spans="16:30" s="4" customFormat="1" ht="12.75" customHeight="1">
      <c r="P157" s="1"/>
      <c r="Q157" s="15"/>
      <c r="R157" s="24"/>
      <c r="S157" s="20"/>
      <c r="T157" s="5"/>
      <c r="U157" s="5"/>
      <c r="V157" s="5"/>
      <c r="W157" s="5"/>
      <c r="X157" s="5"/>
      <c r="Y157" s="5"/>
      <c r="Z157" s="5"/>
      <c r="AA157" s="5"/>
      <c r="AB157" s="5"/>
      <c r="AC157" s="5"/>
      <c r="AD157" s="5"/>
    </row>
    <row r="158" spans="16:30" s="4" customFormat="1" ht="12.75" customHeight="1">
      <c r="P158" s="1"/>
      <c r="Q158" s="15"/>
      <c r="R158" s="24"/>
      <c r="S158" s="20"/>
      <c r="T158" s="5"/>
      <c r="U158" s="5"/>
      <c r="V158" s="5"/>
      <c r="W158" s="5"/>
      <c r="X158" s="5"/>
      <c r="Y158" s="5"/>
      <c r="Z158" s="5"/>
      <c r="AA158" s="5"/>
      <c r="AB158" s="5"/>
      <c r="AC158" s="5"/>
      <c r="AD158" s="5"/>
    </row>
    <row r="159" spans="16:30" s="4" customFormat="1" ht="12.75" customHeight="1">
      <c r="P159" s="1"/>
      <c r="Q159" s="15"/>
      <c r="R159" s="24"/>
      <c r="S159" s="20"/>
      <c r="T159" s="5"/>
      <c r="U159" s="5"/>
      <c r="V159" s="5"/>
      <c r="W159" s="5"/>
      <c r="X159" s="5"/>
      <c r="Y159" s="5"/>
      <c r="Z159" s="5"/>
      <c r="AA159" s="5"/>
      <c r="AB159" s="5"/>
      <c r="AC159" s="5"/>
      <c r="AD159" s="5"/>
    </row>
    <row r="160" spans="16:30" s="4" customFormat="1" ht="12.75" customHeight="1">
      <c r="P160" s="1"/>
      <c r="Q160" s="15"/>
      <c r="R160" s="24"/>
      <c r="S160" s="20"/>
      <c r="T160" s="5"/>
      <c r="U160" s="5"/>
      <c r="V160" s="5"/>
      <c r="W160" s="5"/>
      <c r="X160" s="5"/>
      <c r="Y160" s="5"/>
      <c r="Z160" s="5"/>
      <c r="AA160" s="5"/>
      <c r="AB160" s="5"/>
      <c r="AC160" s="5"/>
      <c r="AD160" s="5"/>
    </row>
    <row r="161" spans="16:30" s="4" customFormat="1" ht="12.75" customHeight="1">
      <c r="P161" s="1"/>
      <c r="Q161" s="15"/>
      <c r="R161" s="24"/>
      <c r="S161" s="20"/>
      <c r="T161" s="5"/>
      <c r="U161" s="5"/>
      <c r="V161" s="5"/>
      <c r="W161" s="5"/>
      <c r="X161" s="5"/>
      <c r="Y161" s="5"/>
      <c r="Z161" s="5"/>
      <c r="AA161" s="5"/>
      <c r="AB161" s="5"/>
      <c r="AC161" s="5"/>
      <c r="AD161" s="5"/>
    </row>
    <row r="162" spans="16:30" s="4" customFormat="1" ht="12.75" customHeight="1">
      <c r="P162" s="1"/>
      <c r="Q162" s="15"/>
      <c r="R162" s="24"/>
      <c r="S162" s="20"/>
      <c r="T162" s="5"/>
      <c r="U162" s="5"/>
      <c r="V162" s="5"/>
      <c r="W162" s="5"/>
      <c r="X162" s="5"/>
      <c r="Y162" s="5"/>
      <c r="Z162" s="5"/>
      <c r="AA162" s="5"/>
      <c r="AB162" s="5"/>
      <c r="AC162" s="5"/>
      <c r="AD162" s="5"/>
    </row>
    <row r="163" spans="16:30" s="4" customFormat="1" ht="12.75" customHeight="1">
      <c r="P163" s="1"/>
      <c r="Q163" s="15"/>
      <c r="R163" s="24"/>
      <c r="S163" s="20"/>
      <c r="T163" s="5"/>
      <c r="U163" s="5"/>
      <c r="V163" s="5"/>
      <c r="W163" s="5"/>
      <c r="X163" s="5"/>
      <c r="Y163" s="5"/>
      <c r="Z163" s="5"/>
      <c r="AA163" s="5"/>
      <c r="AB163" s="5"/>
      <c r="AC163" s="5"/>
      <c r="AD163" s="5"/>
    </row>
    <row r="164" spans="16:30" s="4" customFormat="1" ht="12.75" customHeight="1">
      <c r="P164" s="1"/>
      <c r="Q164" s="15"/>
      <c r="R164" s="24"/>
      <c r="S164" s="20"/>
      <c r="T164" s="5"/>
      <c r="U164" s="5"/>
      <c r="V164" s="5"/>
      <c r="W164" s="5"/>
      <c r="X164" s="5"/>
      <c r="Y164" s="5"/>
      <c r="Z164" s="5"/>
      <c r="AA164" s="5"/>
      <c r="AB164" s="5"/>
      <c r="AC164" s="5"/>
      <c r="AD164" s="5"/>
    </row>
    <row r="165" spans="16:30" s="4" customFormat="1" ht="12.75" customHeight="1">
      <c r="P165" s="1"/>
      <c r="Q165" s="15"/>
      <c r="R165" s="24"/>
      <c r="S165" s="20"/>
      <c r="T165" s="5"/>
      <c r="U165" s="5"/>
      <c r="V165" s="5"/>
      <c r="W165" s="5"/>
      <c r="X165" s="5"/>
      <c r="Y165" s="5"/>
      <c r="Z165" s="5"/>
      <c r="AA165" s="5"/>
      <c r="AB165" s="5"/>
      <c r="AC165" s="5"/>
      <c r="AD165" s="5"/>
    </row>
    <row r="166" spans="16:30" s="4" customFormat="1" ht="12.75" customHeight="1">
      <c r="P166" s="1"/>
      <c r="Q166" s="15"/>
      <c r="R166" s="24"/>
      <c r="S166" s="20"/>
      <c r="T166" s="5"/>
      <c r="U166" s="5"/>
      <c r="V166" s="5"/>
      <c r="W166" s="5"/>
      <c r="X166" s="5"/>
      <c r="Y166" s="5"/>
      <c r="Z166" s="5"/>
      <c r="AA166" s="5"/>
      <c r="AB166" s="5"/>
      <c r="AC166" s="5"/>
      <c r="AD166" s="5"/>
    </row>
    <row r="167" spans="16:30" s="4" customFormat="1" ht="12.75" customHeight="1">
      <c r="P167" s="1"/>
      <c r="Q167" s="15"/>
      <c r="R167" s="24"/>
      <c r="S167" s="20"/>
      <c r="T167" s="5"/>
      <c r="U167" s="5"/>
      <c r="V167" s="5"/>
      <c r="W167" s="5"/>
      <c r="X167" s="5"/>
      <c r="Y167" s="5"/>
      <c r="Z167" s="5"/>
      <c r="AA167" s="5"/>
      <c r="AB167" s="5"/>
      <c r="AC167" s="5"/>
      <c r="AD167" s="5"/>
    </row>
    <row r="168" spans="16:30" s="4" customFormat="1" ht="12.75" customHeight="1">
      <c r="P168" s="1"/>
      <c r="Q168" s="15"/>
      <c r="R168" s="24"/>
      <c r="S168" s="20"/>
      <c r="T168" s="5"/>
      <c r="U168" s="5"/>
      <c r="V168" s="5"/>
      <c r="W168" s="5"/>
      <c r="X168" s="5"/>
      <c r="Y168" s="5"/>
      <c r="Z168" s="5"/>
      <c r="AA168" s="5"/>
      <c r="AB168" s="5"/>
      <c r="AC168" s="5"/>
      <c r="AD168" s="5"/>
    </row>
    <row r="169" spans="16:30" s="4" customFormat="1" ht="12.75" customHeight="1">
      <c r="P169" s="1"/>
      <c r="Q169" s="15"/>
      <c r="R169" s="24"/>
      <c r="S169" s="20"/>
      <c r="T169" s="5"/>
      <c r="U169" s="5"/>
      <c r="V169" s="5"/>
      <c r="W169" s="5"/>
      <c r="X169" s="5"/>
      <c r="Y169" s="5"/>
      <c r="Z169" s="5"/>
      <c r="AA169" s="5"/>
      <c r="AB169" s="5"/>
      <c r="AC169" s="5"/>
      <c r="AD169" s="5"/>
    </row>
    <row r="170" spans="16:30" s="4" customFormat="1" ht="12.75" customHeight="1">
      <c r="P170" s="1"/>
      <c r="Q170" s="15"/>
      <c r="R170" s="24"/>
      <c r="S170" s="20"/>
      <c r="T170" s="5"/>
      <c r="U170" s="5"/>
      <c r="V170" s="5"/>
      <c r="W170" s="5"/>
      <c r="X170" s="5"/>
      <c r="Y170" s="5"/>
      <c r="Z170" s="5"/>
      <c r="AA170" s="5"/>
      <c r="AB170" s="5"/>
      <c r="AC170" s="5"/>
      <c r="AD170" s="5"/>
    </row>
    <row r="171" spans="16:30" s="4" customFormat="1" ht="12.75" customHeight="1">
      <c r="P171" s="1"/>
      <c r="Q171" s="15"/>
      <c r="R171" s="24"/>
      <c r="S171" s="20"/>
      <c r="T171" s="5"/>
      <c r="U171" s="5"/>
      <c r="V171" s="5"/>
      <c r="W171" s="5"/>
      <c r="X171" s="5"/>
      <c r="Y171" s="5"/>
      <c r="Z171" s="5"/>
      <c r="AA171" s="5"/>
      <c r="AB171" s="5"/>
      <c r="AC171" s="5"/>
      <c r="AD171" s="5"/>
    </row>
    <row r="172" spans="16:30" s="4" customFormat="1" ht="12.75" customHeight="1">
      <c r="P172" s="1"/>
      <c r="Q172" s="15"/>
      <c r="R172" s="24"/>
      <c r="S172" s="20"/>
      <c r="T172" s="5"/>
      <c r="U172" s="5"/>
      <c r="V172" s="5"/>
      <c r="W172" s="5"/>
      <c r="X172" s="5"/>
      <c r="Y172" s="5"/>
      <c r="Z172" s="5"/>
      <c r="AA172" s="5"/>
      <c r="AB172" s="5"/>
      <c r="AC172" s="5"/>
      <c r="AD172" s="5"/>
    </row>
    <row r="173" spans="16:30" s="4" customFormat="1" ht="12.75" customHeight="1">
      <c r="P173" s="1"/>
      <c r="Q173" s="15"/>
      <c r="R173" s="24"/>
      <c r="S173" s="20"/>
      <c r="T173" s="5"/>
      <c r="U173" s="5"/>
      <c r="V173" s="5"/>
      <c r="W173" s="5"/>
      <c r="X173" s="5"/>
      <c r="Y173" s="5"/>
      <c r="Z173" s="5"/>
      <c r="AA173" s="5"/>
      <c r="AB173" s="5"/>
      <c r="AC173" s="5"/>
      <c r="AD173" s="5"/>
    </row>
    <row r="174" spans="16:30" s="4" customFormat="1" ht="12.75" customHeight="1">
      <c r="P174" s="1"/>
      <c r="Q174" s="15"/>
      <c r="R174" s="24"/>
      <c r="S174" s="20"/>
      <c r="T174" s="5"/>
      <c r="U174" s="5"/>
      <c r="V174" s="5"/>
      <c r="W174" s="5"/>
      <c r="X174" s="5"/>
      <c r="Y174" s="5"/>
      <c r="Z174" s="5"/>
      <c r="AA174" s="5"/>
      <c r="AB174" s="5"/>
      <c r="AC174" s="5"/>
      <c r="AD174" s="5"/>
    </row>
    <row r="175" spans="16:30" s="4" customFormat="1" ht="12.75" customHeight="1">
      <c r="P175" s="1"/>
      <c r="Q175" s="15"/>
      <c r="R175" s="24"/>
      <c r="S175" s="20"/>
      <c r="T175" s="5"/>
      <c r="U175" s="5"/>
      <c r="V175" s="5"/>
      <c r="W175" s="5"/>
      <c r="X175" s="5"/>
      <c r="Y175" s="5"/>
      <c r="Z175" s="5"/>
      <c r="AA175" s="5"/>
      <c r="AB175" s="5"/>
      <c r="AC175" s="5"/>
      <c r="AD175" s="5"/>
    </row>
    <row r="176" spans="16:30" s="4" customFormat="1" ht="12.75" customHeight="1">
      <c r="P176" s="1"/>
      <c r="Q176" s="15"/>
      <c r="R176" s="24"/>
      <c r="S176" s="20"/>
      <c r="T176" s="5"/>
      <c r="U176" s="5"/>
      <c r="V176" s="5"/>
      <c r="W176" s="5"/>
      <c r="X176" s="5"/>
      <c r="Y176" s="5"/>
      <c r="Z176" s="5"/>
      <c r="AA176" s="5"/>
      <c r="AB176" s="5"/>
      <c r="AC176" s="5"/>
      <c r="AD176" s="5"/>
    </row>
    <row r="177" spans="16:30" s="4" customFormat="1" ht="12.75" customHeight="1">
      <c r="P177" s="1"/>
      <c r="Q177" s="15"/>
      <c r="R177" s="24"/>
      <c r="S177" s="20"/>
      <c r="T177" s="5"/>
      <c r="U177" s="5"/>
      <c r="V177" s="5"/>
      <c r="W177" s="5"/>
      <c r="X177" s="5"/>
      <c r="Y177" s="5"/>
      <c r="Z177" s="5"/>
      <c r="AA177" s="5"/>
      <c r="AB177" s="5"/>
      <c r="AC177" s="5"/>
      <c r="AD177" s="5"/>
    </row>
    <row r="178" spans="16:30" s="4" customFormat="1" ht="12.75" customHeight="1">
      <c r="P178" s="1"/>
      <c r="Q178" s="15"/>
      <c r="R178" s="24"/>
      <c r="S178" s="20"/>
      <c r="T178" s="5"/>
      <c r="U178" s="5"/>
      <c r="V178" s="5"/>
      <c r="W178" s="5"/>
      <c r="X178" s="5"/>
      <c r="Y178" s="5"/>
      <c r="Z178" s="5"/>
      <c r="AA178" s="5"/>
      <c r="AB178" s="5"/>
      <c r="AC178" s="5"/>
      <c r="AD178" s="5"/>
    </row>
    <row r="179" spans="16:30" s="4" customFormat="1" ht="12.75" customHeight="1">
      <c r="P179" s="1"/>
      <c r="Q179" s="15"/>
      <c r="R179" s="24"/>
      <c r="S179" s="20"/>
      <c r="T179" s="5"/>
      <c r="U179" s="5"/>
      <c r="V179" s="5"/>
      <c r="W179" s="5"/>
      <c r="X179" s="5"/>
      <c r="Y179" s="5"/>
      <c r="Z179" s="5"/>
      <c r="AA179" s="5"/>
      <c r="AB179" s="5"/>
      <c r="AC179" s="5"/>
      <c r="AD179" s="5"/>
    </row>
    <row r="180" spans="16:30" s="4" customFormat="1" ht="12.75" customHeight="1">
      <c r="P180" s="1"/>
      <c r="Q180" s="15"/>
      <c r="R180" s="24"/>
      <c r="S180" s="20"/>
      <c r="T180" s="5"/>
      <c r="U180" s="5"/>
      <c r="V180" s="5"/>
      <c r="W180" s="5"/>
      <c r="X180" s="5"/>
      <c r="Y180" s="5"/>
      <c r="Z180" s="5"/>
      <c r="AA180" s="5"/>
      <c r="AB180" s="5"/>
      <c r="AC180" s="5"/>
      <c r="AD180" s="5"/>
    </row>
    <row r="181" spans="16:30" s="4" customFormat="1" ht="12.75" customHeight="1">
      <c r="P181" s="1"/>
      <c r="Q181" s="15"/>
      <c r="R181" s="24"/>
      <c r="S181" s="20"/>
      <c r="T181" s="5"/>
      <c r="U181" s="5"/>
      <c r="V181" s="5"/>
      <c r="W181" s="5"/>
      <c r="X181" s="5"/>
      <c r="Y181" s="5"/>
      <c r="Z181" s="5"/>
      <c r="AA181" s="5"/>
      <c r="AB181" s="5"/>
      <c r="AC181" s="5"/>
      <c r="AD181" s="5"/>
    </row>
    <row r="182" spans="16:30" s="4" customFormat="1" ht="12.75" customHeight="1">
      <c r="P182" s="1"/>
      <c r="Q182" s="15"/>
      <c r="R182" s="24"/>
      <c r="S182" s="20"/>
      <c r="T182" s="5"/>
      <c r="U182" s="5"/>
      <c r="V182" s="5"/>
      <c r="W182" s="5"/>
      <c r="X182" s="5"/>
      <c r="Y182" s="5"/>
      <c r="Z182" s="5"/>
      <c r="AA182" s="5"/>
      <c r="AB182" s="5"/>
      <c r="AC182" s="5"/>
      <c r="AD182" s="5"/>
    </row>
    <row r="183" spans="16:30" s="4" customFormat="1" ht="12.75" customHeight="1">
      <c r="P183" s="1"/>
      <c r="Q183" s="15"/>
      <c r="R183" s="24"/>
      <c r="S183" s="20"/>
      <c r="T183" s="5"/>
      <c r="U183" s="5"/>
      <c r="V183" s="5"/>
      <c r="W183" s="5"/>
      <c r="X183" s="5"/>
      <c r="Y183" s="5"/>
      <c r="Z183" s="5"/>
      <c r="AA183" s="5"/>
      <c r="AB183" s="5"/>
      <c r="AC183" s="5"/>
      <c r="AD183" s="5"/>
    </row>
    <row r="184" spans="16:30" s="4" customFormat="1" ht="12.75" customHeight="1">
      <c r="P184" s="1"/>
      <c r="Q184" s="15"/>
      <c r="R184" s="24"/>
      <c r="S184" s="20"/>
      <c r="T184" s="5"/>
      <c r="U184" s="5"/>
      <c r="V184" s="5"/>
      <c r="W184" s="5"/>
      <c r="X184" s="5"/>
      <c r="Y184" s="5"/>
      <c r="Z184" s="5"/>
      <c r="AA184" s="5"/>
      <c r="AB184" s="5"/>
      <c r="AC184" s="5"/>
      <c r="AD184" s="5"/>
    </row>
    <row r="185" spans="16:30" s="4" customFormat="1" ht="12.75" customHeight="1">
      <c r="P185" s="1"/>
      <c r="Q185" s="15"/>
      <c r="R185" s="24"/>
      <c r="S185" s="20"/>
      <c r="T185" s="5"/>
      <c r="U185" s="5"/>
      <c r="V185" s="5"/>
      <c r="W185" s="5"/>
      <c r="X185" s="5"/>
      <c r="Y185" s="5"/>
      <c r="Z185" s="5"/>
      <c r="AA185" s="5"/>
      <c r="AB185" s="5"/>
      <c r="AC185" s="5"/>
      <c r="AD185" s="5"/>
    </row>
    <row r="186" spans="16:30" s="4" customFormat="1" ht="12.75" customHeight="1">
      <c r="P186" s="1"/>
      <c r="Q186" s="15"/>
      <c r="R186" s="24"/>
      <c r="S186" s="20"/>
      <c r="T186" s="5"/>
      <c r="U186" s="5"/>
      <c r="V186" s="5"/>
      <c r="W186" s="5"/>
      <c r="X186" s="5"/>
      <c r="Y186" s="5"/>
      <c r="Z186" s="5"/>
      <c r="AA186" s="5"/>
      <c r="AB186" s="5"/>
      <c r="AC186" s="5"/>
      <c r="AD186" s="5"/>
    </row>
    <row r="187" spans="16:30" s="4" customFormat="1" ht="12.75" customHeight="1">
      <c r="P187" s="1"/>
      <c r="Q187" s="15"/>
      <c r="R187" s="24"/>
      <c r="S187" s="20"/>
      <c r="T187" s="5"/>
      <c r="U187" s="5"/>
      <c r="V187" s="5"/>
      <c r="W187" s="5"/>
      <c r="X187" s="5"/>
      <c r="Y187" s="5"/>
      <c r="Z187" s="5"/>
      <c r="AA187" s="5"/>
      <c r="AB187" s="5"/>
      <c r="AC187" s="5"/>
      <c r="AD187" s="5"/>
    </row>
    <row r="188" spans="16:30" s="4" customFormat="1" ht="12.75" customHeight="1">
      <c r="P188" s="1"/>
      <c r="Q188" s="15"/>
      <c r="R188" s="24"/>
      <c r="S188" s="20"/>
      <c r="T188" s="5"/>
      <c r="U188" s="5"/>
      <c r="V188" s="5"/>
      <c r="W188" s="5"/>
      <c r="X188" s="5"/>
      <c r="Y188" s="5"/>
      <c r="Z188" s="5"/>
      <c r="AA188" s="5"/>
      <c r="AB188" s="5"/>
      <c r="AC188" s="5"/>
      <c r="AD188" s="5"/>
    </row>
    <row r="189" spans="16:30" s="4" customFormat="1" ht="12.75" customHeight="1">
      <c r="P189" s="1"/>
      <c r="Q189" s="15"/>
      <c r="R189" s="24"/>
      <c r="S189" s="20"/>
      <c r="T189" s="5"/>
      <c r="U189" s="5"/>
      <c r="V189" s="5"/>
      <c r="W189" s="5"/>
      <c r="X189" s="5"/>
      <c r="Y189" s="5"/>
      <c r="Z189" s="5"/>
      <c r="AA189" s="5"/>
      <c r="AB189" s="5"/>
      <c r="AC189" s="5"/>
      <c r="AD189" s="5"/>
    </row>
    <row r="190" spans="16:30" s="4" customFormat="1" ht="12.75" customHeight="1">
      <c r="P190" s="1"/>
      <c r="Q190" s="15"/>
      <c r="R190" s="24"/>
      <c r="S190" s="20"/>
      <c r="T190" s="5"/>
      <c r="U190" s="5"/>
      <c r="V190" s="5"/>
      <c r="W190" s="5"/>
      <c r="X190" s="5"/>
      <c r="Y190" s="5"/>
      <c r="Z190" s="5"/>
      <c r="AA190" s="5"/>
      <c r="AB190" s="5"/>
      <c r="AC190" s="5"/>
      <c r="AD190" s="5"/>
    </row>
    <row r="191" spans="16:30" s="4" customFormat="1" ht="12.75" customHeight="1">
      <c r="P191" s="1"/>
      <c r="Q191" s="15"/>
      <c r="R191" s="24"/>
      <c r="S191" s="20"/>
      <c r="T191" s="5"/>
      <c r="U191" s="5"/>
      <c r="V191" s="5"/>
      <c r="W191" s="5"/>
      <c r="X191" s="5"/>
      <c r="Y191" s="5"/>
      <c r="Z191" s="5"/>
      <c r="AA191" s="5"/>
      <c r="AB191" s="5"/>
      <c r="AC191" s="5"/>
      <c r="AD191" s="5"/>
    </row>
    <row r="192" spans="16:30" s="4" customFormat="1" ht="12.75" customHeight="1">
      <c r="P192" s="1"/>
      <c r="Q192" s="15"/>
      <c r="R192" s="24"/>
      <c r="S192" s="20"/>
      <c r="T192" s="5"/>
      <c r="U192" s="5"/>
      <c r="V192" s="5"/>
      <c r="W192" s="5"/>
      <c r="X192" s="5"/>
      <c r="Y192" s="5"/>
      <c r="Z192" s="5"/>
      <c r="AA192" s="5"/>
      <c r="AB192" s="5"/>
      <c r="AC192" s="5"/>
      <c r="AD192" s="5"/>
    </row>
    <row r="193" spans="16:30" s="4" customFormat="1" ht="12.75" customHeight="1">
      <c r="P193" s="1"/>
      <c r="Q193" s="15"/>
      <c r="R193" s="24"/>
      <c r="S193" s="20"/>
      <c r="T193" s="5"/>
      <c r="U193" s="5"/>
      <c r="V193" s="5"/>
      <c r="W193" s="5"/>
      <c r="X193" s="5"/>
      <c r="Y193" s="5"/>
      <c r="Z193" s="5"/>
      <c r="AA193" s="5"/>
      <c r="AB193" s="5"/>
      <c r="AC193" s="5"/>
      <c r="AD193" s="5"/>
    </row>
    <row r="194" spans="16:30" s="4" customFormat="1" ht="12.75" customHeight="1">
      <c r="P194" s="1"/>
      <c r="Q194" s="15"/>
      <c r="R194" s="24"/>
      <c r="S194" s="20"/>
      <c r="T194" s="5"/>
      <c r="U194" s="5"/>
      <c r="V194" s="5"/>
      <c r="W194" s="5"/>
      <c r="X194" s="5"/>
      <c r="Y194" s="5"/>
      <c r="Z194" s="5"/>
      <c r="AA194" s="5"/>
      <c r="AB194" s="5"/>
      <c r="AC194" s="5"/>
      <c r="AD194" s="5"/>
    </row>
    <row r="195" spans="16:30" s="4" customFormat="1" ht="12.75" customHeight="1">
      <c r="P195" s="1"/>
      <c r="Q195" s="15"/>
      <c r="R195" s="24"/>
      <c r="S195" s="20"/>
      <c r="T195" s="5"/>
      <c r="U195" s="5"/>
      <c r="V195" s="5"/>
      <c r="W195" s="5"/>
      <c r="X195" s="5"/>
      <c r="Y195" s="5"/>
      <c r="Z195" s="5"/>
      <c r="AA195" s="5"/>
      <c r="AB195" s="5"/>
      <c r="AC195" s="5"/>
      <c r="AD195" s="5"/>
    </row>
    <row r="196" spans="16:30" s="4" customFormat="1" ht="12.75" customHeight="1">
      <c r="P196" s="1"/>
      <c r="Q196" s="15"/>
      <c r="R196" s="24"/>
      <c r="S196" s="20"/>
      <c r="T196" s="5"/>
      <c r="U196" s="5"/>
      <c r="V196" s="5"/>
      <c r="W196" s="5"/>
      <c r="X196" s="5"/>
      <c r="Y196" s="5"/>
      <c r="Z196" s="5"/>
      <c r="AA196" s="5"/>
      <c r="AB196" s="5"/>
      <c r="AC196" s="5"/>
      <c r="AD196" s="5"/>
    </row>
    <row r="197" spans="16:30" s="4" customFormat="1" ht="12.75" customHeight="1">
      <c r="P197" s="1"/>
      <c r="Q197" s="15"/>
      <c r="R197" s="24"/>
      <c r="S197" s="20"/>
      <c r="T197" s="5"/>
      <c r="U197" s="5"/>
      <c r="V197" s="5"/>
      <c r="W197" s="5"/>
      <c r="X197" s="5"/>
      <c r="Y197" s="5"/>
      <c r="Z197" s="5"/>
      <c r="AA197" s="5"/>
      <c r="AB197" s="5"/>
      <c r="AC197" s="5"/>
      <c r="AD197" s="5"/>
    </row>
    <row r="198" spans="16:30" s="4" customFormat="1" ht="12.75" customHeight="1">
      <c r="P198" s="1"/>
      <c r="Q198" s="15"/>
      <c r="R198" s="24"/>
      <c r="S198" s="20"/>
      <c r="T198" s="5"/>
      <c r="U198" s="5"/>
      <c r="V198" s="5"/>
      <c r="W198" s="5"/>
      <c r="X198" s="5"/>
      <c r="Y198" s="5"/>
      <c r="Z198" s="5"/>
      <c r="AA198" s="5"/>
      <c r="AB198" s="5"/>
      <c r="AC198" s="5"/>
      <c r="AD198" s="5"/>
    </row>
    <row r="199" spans="16:30" s="4" customFormat="1" ht="12.75" customHeight="1">
      <c r="P199" s="1"/>
      <c r="Q199" s="15"/>
      <c r="R199" s="24"/>
      <c r="S199" s="20"/>
      <c r="T199" s="5"/>
      <c r="U199" s="5"/>
      <c r="V199" s="5"/>
      <c r="W199" s="5"/>
      <c r="X199" s="5"/>
      <c r="Y199" s="5"/>
      <c r="Z199" s="5"/>
      <c r="AA199" s="5"/>
      <c r="AB199" s="5"/>
      <c r="AC199" s="5"/>
      <c r="AD199" s="5"/>
    </row>
    <row r="200" spans="16:30" s="4" customFormat="1" ht="12.75" customHeight="1">
      <c r="P200" s="1"/>
      <c r="Q200" s="15"/>
      <c r="R200" s="24"/>
      <c r="S200" s="20"/>
      <c r="T200" s="5"/>
      <c r="U200" s="5"/>
      <c r="V200" s="5"/>
      <c r="W200" s="5"/>
      <c r="X200" s="5"/>
      <c r="Y200" s="5"/>
      <c r="Z200" s="5"/>
      <c r="AA200" s="5"/>
      <c r="AB200" s="5"/>
      <c r="AC200" s="5"/>
      <c r="AD200" s="5"/>
    </row>
    <row r="201" spans="16:30" s="4" customFormat="1" ht="12.75" customHeight="1">
      <c r="P201" s="1"/>
      <c r="Q201" s="15"/>
      <c r="R201" s="24"/>
      <c r="S201" s="20"/>
      <c r="T201" s="5"/>
      <c r="U201" s="5"/>
      <c r="V201" s="5"/>
      <c r="W201" s="5"/>
      <c r="X201" s="5"/>
      <c r="Y201" s="5"/>
      <c r="Z201" s="5"/>
      <c r="AA201" s="5"/>
      <c r="AB201" s="5"/>
      <c r="AC201" s="5"/>
      <c r="AD201" s="5"/>
    </row>
    <row r="202" spans="16:30" s="4" customFormat="1" ht="12.75" customHeight="1">
      <c r="P202" s="1"/>
      <c r="Q202" s="15"/>
      <c r="R202" s="24"/>
      <c r="S202" s="20"/>
      <c r="T202" s="5"/>
      <c r="U202" s="5"/>
      <c r="V202" s="5"/>
      <c r="W202" s="5"/>
      <c r="X202" s="5"/>
      <c r="Y202" s="5"/>
      <c r="Z202" s="5"/>
      <c r="AA202" s="5"/>
      <c r="AB202" s="5"/>
      <c r="AC202" s="5"/>
      <c r="AD202" s="5"/>
    </row>
    <row r="203" spans="16:30" s="4" customFormat="1" ht="12.75" customHeight="1">
      <c r="P203" s="1"/>
      <c r="Q203" s="15"/>
      <c r="R203" s="24"/>
      <c r="S203" s="20"/>
      <c r="T203" s="5"/>
      <c r="U203" s="5"/>
      <c r="V203" s="5"/>
      <c r="W203" s="5"/>
      <c r="X203" s="5"/>
      <c r="Y203" s="5"/>
      <c r="Z203" s="5"/>
      <c r="AA203" s="5"/>
      <c r="AB203" s="5"/>
      <c r="AC203" s="5"/>
      <c r="AD203" s="5"/>
    </row>
    <row r="204" spans="16:30" s="4" customFormat="1" ht="12.75" customHeight="1">
      <c r="P204" s="1"/>
      <c r="Q204" s="15"/>
      <c r="R204" s="24"/>
      <c r="S204" s="20"/>
      <c r="T204" s="5"/>
      <c r="U204" s="5"/>
      <c r="V204" s="5"/>
      <c r="W204" s="5"/>
      <c r="X204" s="5"/>
      <c r="Y204" s="5"/>
      <c r="Z204" s="5"/>
      <c r="AA204" s="5"/>
      <c r="AB204" s="5"/>
      <c r="AC204" s="5"/>
      <c r="AD204" s="5"/>
    </row>
    <row r="205" spans="16:30" s="4" customFormat="1" ht="12.75" customHeight="1">
      <c r="P205" s="1"/>
      <c r="Q205" s="15"/>
      <c r="R205" s="24"/>
      <c r="S205" s="20"/>
      <c r="T205" s="5"/>
      <c r="U205" s="5"/>
      <c r="V205" s="5"/>
      <c r="W205" s="5"/>
      <c r="X205" s="5"/>
      <c r="Y205" s="5"/>
      <c r="Z205" s="5"/>
      <c r="AA205" s="5"/>
      <c r="AB205" s="5"/>
      <c r="AC205" s="5"/>
      <c r="AD205" s="5"/>
    </row>
    <row r="206" spans="16:30" s="4" customFormat="1" ht="12.75" customHeight="1">
      <c r="P206" s="1"/>
      <c r="Q206" s="15"/>
      <c r="R206" s="24"/>
      <c r="S206" s="20"/>
      <c r="T206" s="5"/>
      <c r="U206" s="5"/>
      <c r="V206" s="5"/>
      <c r="W206" s="5"/>
      <c r="X206" s="5"/>
      <c r="Y206" s="5"/>
      <c r="Z206" s="5"/>
      <c r="AA206" s="5"/>
      <c r="AB206" s="5"/>
      <c r="AC206" s="5"/>
      <c r="AD206" s="5"/>
    </row>
    <row r="207" spans="16:30" s="4" customFormat="1" ht="12.75" customHeight="1">
      <c r="P207" s="1"/>
      <c r="Q207" s="15"/>
      <c r="R207" s="24"/>
      <c r="S207" s="7"/>
      <c r="T207" s="5"/>
      <c r="U207" s="5"/>
      <c r="V207" s="5"/>
      <c r="W207" s="5"/>
      <c r="X207" s="5"/>
      <c r="Y207" s="5"/>
      <c r="Z207" s="5"/>
      <c r="AA207" s="5"/>
      <c r="AB207" s="5"/>
      <c r="AC207" s="5"/>
      <c r="AD207" s="5"/>
    </row>
    <row r="208" spans="16:30" s="4" customFormat="1" ht="12.75" customHeight="1">
      <c r="P208" s="1"/>
      <c r="Q208" s="15"/>
      <c r="R208" s="24"/>
      <c r="S208" s="20"/>
      <c r="T208" s="5"/>
      <c r="U208" s="5"/>
      <c r="V208" s="5"/>
      <c r="W208" s="5"/>
      <c r="X208" s="5"/>
      <c r="Y208" s="5"/>
      <c r="Z208" s="5"/>
      <c r="AA208" s="5"/>
      <c r="AB208" s="5"/>
      <c r="AC208" s="5"/>
      <c r="AD208" s="5"/>
    </row>
    <row r="209" spans="12:54" ht="12.75" customHeight="1">
      <c r="L209" s="4"/>
      <c r="M209" s="4"/>
      <c r="N209" s="4"/>
      <c r="O209" s="4"/>
      <c r="P209" s="1"/>
      <c r="Q209" s="15"/>
      <c r="R209" s="24"/>
      <c r="S209" s="20"/>
      <c r="T209" s="5"/>
      <c r="U209" s="5"/>
      <c r="V209" s="5"/>
      <c r="W209" s="5"/>
      <c r="X209" s="5"/>
      <c r="Y209" s="5"/>
      <c r="Z209" s="5"/>
      <c r="AA209" s="5"/>
      <c r="AB209" s="5"/>
      <c r="AC209" s="5"/>
      <c r="AD209" s="5"/>
      <c r="AG209" s="4"/>
      <c r="AH209" s="4"/>
      <c r="AI209" s="4"/>
      <c r="AJ209" s="4"/>
      <c r="AK209" s="4"/>
      <c r="AL209" s="4"/>
      <c r="AM209" s="4"/>
      <c r="AN209" s="4"/>
      <c r="AO209" s="4"/>
      <c r="AP209" s="4"/>
      <c r="AQ209" s="4"/>
      <c r="AR209" s="4"/>
      <c r="AS209" s="4"/>
      <c r="AT209" s="4"/>
      <c r="AU209" s="4"/>
      <c r="AV209" s="4"/>
      <c r="AW209" s="4"/>
      <c r="AX209" s="4"/>
      <c r="AY209" s="4"/>
      <c r="AZ209" s="4"/>
      <c r="BA209" s="4"/>
      <c r="BB209" s="4"/>
    </row>
    <row r="210" spans="12:54" ht="12.75" customHeight="1">
      <c r="L210" s="4"/>
      <c r="M210" s="4"/>
      <c r="N210" s="4"/>
      <c r="O210" s="4"/>
      <c r="P210" s="1"/>
      <c r="Q210" s="15"/>
      <c r="R210" s="24"/>
      <c r="T210" s="5"/>
      <c r="U210" s="5"/>
      <c r="V210" s="5"/>
      <c r="W210" s="5"/>
      <c r="X210" s="5"/>
      <c r="Y210" s="5"/>
      <c r="Z210" s="5"/>
      <c r="AA210" s="5"/>
      <c r="AB210" s="5"/>
      <c r="AC210" s="5"/>
      <c r="AD210" s="5"/>
      <c r="AG210" s="4"/>
      <c r="AH210" s="4"/>
      <c r="AI210" s="4"/>
      <c r="AJ210" s="4"/>
      <c r="AK210" s="4"/>
      <c r="AL210" s="4"/>
      <c r="AM210" s="4"/>
      <c r="AN210" s="4"/>
      <c r="AO210" s="4"/>
      <c r="AP210" s="4"/>
      <c r="AQ210" s="4"/>
      <c r="AR210" s="4"/>
      <c r="AS210" s="4"/>
      <c r="AT210" s="4"/>
      <c r="AU210" s="4"/>
      <c r="AV210" s="4"/>
      <c r="AW210" s="4"/>
      <c r="AX210" s="4"/>
      <c r="AY210" s="4"/>
      <c r="AZ210" s="4"/>
      <c r="BA210" s="4"/>
      <c r="BB210" s="4"/>
    </row>
    <row r="211" spans="12:54" ht="12.75" customHeight="1">
      <c r="L211" s="4"/>
      <c r="M211" s="4"/>
      <c r="N211" s="4"/>
      <c r="O211" s="4"/>
      <c r="P211" s="1"/>
      <c r="Q211" s="15"/>
      <c r="R211" s="24"/>
      <c r="T211" s="5"/>
      <c r="U211" s="5"/>
      <c r="V211" s="5"/>
      <c r="W211" s="5"/>
      <c r="X211" s="5"/>
      <c r="Y211" s="5"/>
      <c r="Z211" s="5"/>
      <c r="AA211" s="5"/>
      <c r="AB211" s="5"/>
      <c r="AC211" s="5"/>
      <c r="AD211" s="5"/>
      <c r="AG211" s="4"/>
      <c r="AH211" s="4"/>
      <c r="AI211" s="4"/>
      <c r="AJ211" s="4"/>
      <c r="AK211" s="4"/>
      <c r="AL211" s="4"/>
      <c r="AM211" s="4"/>
      <c r="AN211" s="4"/>
      <c r="AO211" s="4"/>
      <c r="AP211" s="4"/>
      <c r="AQ211" s="4"/>
      <c r="AR211" s="4"/>
      <c r="AS211" s="4"/>
      <c r="AT211" s="4"/>
      <c r="AU211" s="4"/>
      <c r="AV211" s="4"/>
      <c r="AW211" s="4"/>
      <c r="AX211" s="4"/>
      <c r="AY211" s="4"/>
      <c r="AZ211" s="4"/>
      <c r="BA211" s="4"/>
      <c r="BB211" s="4"/>
    </row>
    <row r="212" spans="12:54" ht="12.75" customHeight="1">
      <c r="L212" s="4"/>
      <c r="M212" s="4"/>
      <c r="N212" s="4"/>
      <c r="O212" s="4"/>
      <c r="P212" s="1"/>
      <c r="Q212" s="15"/>
      <c r="R212" s="24"/>
      <c r="T212" s="5"/>
      <c r="U212" s="5"/>
      <c r="V212" s="5"/>
      <c r="W212" s="5"/>
      <c r="X212" s="5"/>
      <c r="Y212" s="5"/>
      <c r="Z212" s="5"/>
      <c r="AA212" s="5"/>
      <c r="AB212" s="5"/>
      <c r="AC212" s="5"/>
      <c r="AD212" s="5"/>
      <c r="AG212" s="4"/>
      <c r="AH212" s="4"/>
      <c r="AI212" s="4"/>
      <c r="AJ212" s="4"/>
      <c r="AK212" s="4"/>
      <c r="AL212" s="4"/>
      <c r="AM212" s="4"/>
      <c r="AN212" s="4"/>
      <c r="AO212" s="4"/>
      <c r="AP212" s="4"/>
      <c r="AQ212" s="4"/>
      <c r="AR212" s="4"/>
      <c r="AS212" s="4"/>
      <c r="AT212" s="4"/>
      <c r="AU212" s="4"/>
      <c r="AV212" s="4"/>
      <c r="AW212" s="4"/>
      <c r="AX212" s="4"/>
      <c r="AY212" s="4"/>
      <c r="AZ212" s="4"/>
      <c r="BA212" s="4"/>
      <c r="BB212" s="4"/>
    </row>
    <row r="213" spans="12:54" ht="12.75" customHeight="1">
      <c r="AD213" s="5"/>
      <c r="AG213" s="4"/>
      <c r="AH213" s="4"/>
    </row>
    <row r="214" spans="12:54" ht="12.75" customHeight="1">
      <c r="AD214" s="5"/>
      <c r="AG214" s="4"/>
      <c r="AH214" s="4"/>
    </row>
    <row r="215" spans="12:54" ht="12.75" customHeight="1">
      <c r="AD215" s="5"/>
      <c r="AG215" s="4"/>
      <c r="AH215" s="4"/>
    </row>
    <row r="216" spans="12:54" ht="12.75" customHeight="1">
      <c r="AD216" s="5"/>
      <c r="AG216" s="4"/>
      <c r="AH216" s="4"/>
    </row>
    <row r="217" spans="12:54" ht="12.75" customHeight="1">
      <c r="AD217" s="5"/>
      <c r="AG217" s="4"/>
      <c r="AH217" s="4"/>
    </row>
    <row r="218" spans="12:54" ht="12.75" customHeight="1">
      <c r="AD218" s="5"/>
      <c r="AG218" s="4"/>
      <c r="AH218" s="4"/>
    </row>
    <row r="219" spans="12:54" ht="12.75" customHeight="1">
      <c r="AD219" s="5"/>
      <c r="AG219" s="4"/>
      <c r="AH219" s="4"/>
    </row>
    <row r="220" spans="12:54" ht="12.75" customHeight="1">
      <c r="AD220" s="5"/>
      <c r="AG220" s="4"/>
      <c r="AH220" s="4"/>
    </row>
    <row r="221" spans="12:54" ht="12.75" customHeight="1">
      <c r="AD221" s="5"/>
      <c r="AG221" s="4"/>
      <c r="AH221" s="4"/>
    </row>
    <row r="222" spans="12:54" ht="12.75" customHeight="1">
      <c r="AD222" s="5"/>
      <c r="AG222" s="4"/>
      <c r="AH222" s="4"/>
    </row>
    <row r="223" spans="12:54" ht="12.75" customHeight="1">
      <c r="AD223" s="5"/>
      <c r="AG223" s="4"/>
      <c r="AH223" s="4"/>
    </row>
    <row r="224" spans="12:54" ht="12.75" customHeight="1">
      <c r="AD224" s="5"/>
      <c r="AG224" s="4"/>
      <c r="AH224" s="4"/>
    </row>
    <row r="225" spans="30:34" ht="12.75" customHeight="1">
      <c r="AD225" s="5"/>
      <c r="AG225" s="4"/>
      <c r="AH225" s="4"/>
    </row>
    <row r="226" spans="30:34" ht="12.75" customHeight="1">
      <c r="AD226" s="5"/>
      <c r="AG226" s="4"/>
      <c r="AH226" s="4"/>
    </row>
    <row r="227" spans="30:34" ht="12.75" customHeight="1">
      <c r="AD227" s="5"/>
      <c r="AG227" s="4"/>
      <c r="AH227" s="4"/>
    </row>
    <row r="228" spans="30:34" ht="12.75" customHeight="1">
      <c r="AD228" s="5"/>
      <c r="AG228" s="4"/>
      <c r="AH228" s="4"/>
    </row>
    <row r="229" spans="30:34" ht="12.75" customHeight="1">
      <c r="AD229" s="5"/>
      <c r="AG229" s="4"/>
      <c r="AH229" s="4"/>
    </row>
    <row r="230" spans="30:34" ht="12.75" customHeight="1">
      <c r="AD230" s="5"/>
      <c r="AG230" s="4"/>
      <c r="AH230" s="4"/>
    </row>
    <row r="231" spans="30:34" ht="12.75" customHeight="1">
      <c r="AD231" s="5"/>
      <c r="AG231" s="4"/>
      <c r="AH231" s="4"/>
    </row>
    <row r="232" spans="30:34" ht="12.75" customHeight="1">
      <c r="AD232" s="5"/>
      <c r="AG232" s="4"/>
      <c r="AH232" s="4"/>
    </row>
    <row r="233" spans="30:34" ht="12.75" customHeight="1">
      <c r="AD233" s="5"/>
      <c r="AG233" s="4"/>
      <c r="AH233" s="4"/>
    </row>
  </sheetData>
  <sheetProtection sheet="1" objects="1" scenarios="1" selectLockedCells="1"/>
  <mergeCells count="4">
    <mergeCell ref="C1:C2"/>
    <mergeCell ref="G40:L43"/>
    <mergeCell ref="K44:L45"/>
    <mergeCell ref="C44:C45"/>
  </mergeCells>
  <conditionalFormatting sqref="C64">
    <cfRule type="expression" dxfId="16" priority="7" stopIfTrue="1">
      <formula>#REF!=TRUE</formula>
    </cfRule>
  </conditionalFormatting>
  <conditionalFormatting sqref="E13">
    <cfRule type="expression" dxfId="15" priority="6">
      <formula>OR(ISTEXT(E13),E13&lt;20,E13&gt;70)</formula>
    </cfRule>
  </conditionalFormatting>
  <conditionalFormatting sqref="E17">
    <cfRule type="expression" dxfId="14" priority="8">
      <formula>#REF!=TRUE</formula>
    </cfRule>
  </conditionalFormatting>
  <conditionalFormatting sqref="H71">
    <cfRule type="expression" dxfId="12" priority="1190" stopIfTrue="1">
      <formula>OR(#REF!=1,#REF!=2,#REF!=4)</formula>
    </cfRule>
  </conditionalFormatting>
  <conditionalFormatting sqref="J55 L56 J60 L63 J66">
    <cfRule type="containsText" dxfId="11" priority="20" stopIfTrue="1" operator="containsText" text="O.k.">
      <formula>NOT(ISERROR(SEARCH("O.k.",J55)))</formula>
    </cfRule>
  </conditionalFormatting>
  <conditionalFormatting sqref="L51">
    <cfRule type="containsText" dxfId="10" priority="16" stopIfTrue="1" operator="containsText" text="O.k.">
      <formula>NOT(ISERROR(SEARCH("O.k.",L51)))</formula>
    </cfRule>
  </conditionalFormatting>
  <conditionalFormatting sqref="L77">
    <cfRule type="containsText" dxfId="9" priority="26" stopIfTrue="1" operator="containsText" text="O.k.">
      <formula>NOT(ISERROR(SEARCH("O.k.",L77)))</formula>
    </cfRule>
  </conditionalFormatting>
  <conditionalFormatting sqref="V54">
    <cfRule type="containsText" dxfId="8" priority="24" stopIfTrue="1" operator="containsText" text="O.k.">
      <formula>NOT(ISERROR(SEARCH("O.k.",V54)))</formula>
    </cfRule>
  </conditionalFormatting>
  <conditionalFormatting sqref="E42">
    <cfRule type="expression" dxfId="5" priority="1195" stopIfTrue="1">
      <formula>$E$41="No"</formula>
    </cfRule>
  </conditionalFormatting>
  <conditionalFormatting sqref="G40">
    <cfRule type="expression" dxfId="4" priority="1196" stopIfTrue="1">
      <formula>$E$41="No"</formula>
    </cfRule>
  </conditionalFormatting>
  <conditionalFormatting sqref="C67:C68">
    <cfRule type="expression" dxfId="3" priority="4" stopIfTrue="1">
      <formula>#REF!=TRUE</formula>
    </cfRule>
  </conditionalFormatting>
  <conditionalFormatting sqref="C65">
    <cfRule type="expression" dxfId="2" priority="3">
      <formula>$Q$55=TRUE</formula>
    </cfRule>
  </conditionalFormatting>
  <conditionalFormatting sqref="F17">
    <cfRule type="expression" dxfId="1" priority="2">
      <formula>#REF!=TRUE</formula>
    </cfRule>
  </conditionalFormatting>
  <conditionalFormatting sqref="G28">
    <cfRule type="expression" dxfId="0" priority="1" stopIfTrue="1">
      <formula>#REF!="No"</formula>
    </cfRule>
  </conditionalFormatting>
  <dataValidations disablePrompts="1" count="29">
    <dataValidation type="list" allowBlank="1" showInputMessage="1" showErrorMessage="1" errorTitle="Invalid Entry" error="Please select Yes or No." sqref="E40 JA28 SW28 ACS28 AMO28 AWK28 BGG28 BQC28 BZY28 CJU28 CTQ28 DDM28 DNI28 DXE28 EHA28 EQW28 FAS28 FKO28 FUK28 GEG28 GOC28 GXY28 HHU28 HRQ28 IBM28 ILI28 IVE28 JFA28 JOW28 JYS28 KIO28 KSK28 LCG28 LMC28 LVY28 MFU28 MPQ28 MZM28 NJI28 NTE28 ODA28 OMW28 OWS28 PGO28 PQK28 QAG28 QKC28 QTY28 RDU28 RNQ28 RXM28 SHI28 SRE28 TBA28 TKW28 TUS28 UEO28 UOK28 UYG28 VIC28 VRY28 WBU28 WLQ28 WVM28 E65564 JA65564 SW65564 ACS65564 AMO65564 AWK65564 BGG65564 BQC65564 BZY65564 CJU65564 CTQ65564 DDM65564 DNI65564 DXE65564 EHA65564 EQW65564 FAS65564 FKO65564 FUK65564 GEG65564 GOC65564 GXY65564 HHU65564 HRQ65564 IBM65564 ILI65564 IVE65564 JFA65564 JOW65564 JYS65564 KIO65564 KSK65564 LCG65564 LMC65564 LVY65564 MFU65564 MPQ65564 MZM65564 NJI65564 NTE65564 ODA65564 OMW65564 OWS65564 PGO65564 PQK65564 QAG65564 QKC65564 QTY65564 RDU65564 RNQ65564 RXM65564 SHI65564 SRE65564 TBA65564 TKW65564 TUS65564 UEO65564 UOK65564 UYG65564 VIC65564 VRY65564 WBU65564 WLQ65564 WVM65564 E131100 JA131100 SW131100 ACS131100 AMO131100 AWK131100 BGG131100 BQC131100 BZY131100 CJU131100 CTQ131100 DDM131100 DNI131100 DXE131100 EHA131100 EQW131100 FAS131100 FKO131100 FUK131100 GEG131100 GOC131100 GXY131100 HHU131100 HRQ131100 IBM131100 ILI131100 IVE131100 JFA131100 JOW131100 JYS131100 KIO131100 KSK131100 LCG131100 LMC131100 LVY131100 MFU131100 MPQ131100 MZM131100 NJI131100 NTE131100 ODA131100 OMW131100 OWS131100 PGO131100 PQK131100 QAG131100 QKC131100 QTY131100 RDU131100 RNQ131100 RXM131100 SHI131100 SRE131100 TBA131100 TKW131100 TUS131100 UEO131100 UOK131100 UYG131100 VIC131100 VRY131100 WBU131100 WLQ131100 WVM131100 E196636 JA196636 SW196636 ACS196636 AMO196636 AWK196636 BGG196636 BQC196636 BZY196636 CJU196636 CTQ196636 DDM196636 DNI196636 DXE196636 EHA196636 EQW196636 FAS196636 FKO196636 FUK196636 GEG196636 GOC196636 GXY196636 HHU196636 HRQ196636 IBM196636 ILI196636 IVE196636 JFA196636 JOW196636 JYS196636 KIO196636 KSK196636 LCG196636 LMC196636 LVY196636 MFU196636 MPQ196636 MZM196636 NJI196636 NTE196636 ODA196636 OMW196636 OWS196636 PGO196636 PQK196636 QAG196636 QKC196636 QTY196636 RDU196636 RNQ196636 RXM196636 SHI196636 SRE196636 TBA196636 TKW196636 TUS196636 UEO196636 UOK196636 UYG196636 VIC196636 VRY196636 WBU196636 WLQ196636 WVM196636 E262172 JA262172 SW262172 ACS262172 AMO262172 AWK262172 BGG262172 BQC262172 BZY262172 CJU262172 CTQ262172 DDM262172 DNI262172 DXE262172 EHA262172 EQW262172 FAS262172 FKO262172 FUK262172 GEG262172 GOC262172 GXY262172 HHU262172 HRQ262172 IBM262172 ILI262172 IVE262172 JFA262172 JOW262172 JYS262172 KIO262172 KSK262172 LCG262172 LMC262172 LVY262172 MFU262172 MPQ262172 MZM262172 NJI262172 NTE262172 ODA262172 OMW262172 OWS262172 PGO262172 PQK262172 QAG262172 QKC262172 QTY262172 RDU262172 RNQ262172 RXM262172 SHI262172 SRE262172 TBA262172 TKW262172 TUS262172 UEO262172 UOK262172 UYG262172 VIC262172 VRY262172 WBU262172 WLQ262172 WVM262172 E327708 JA327708 SW327708 ACS327708 AMO327708 AWK327708 BGG327708 BQC327708 BZY327708 CJU327708 CTQ327708 DDM327708 DNI327708 DXE327708 EHA327708 EQW327708 FAS327708 FKO327708 FUK327708 GEG327708 GOC327708 GXY327708 HHU327708 HRQ327708 IBM327708 ILI327708 IVE327708 JFA327708 JOW327708 JYS327708 KIO327708 KSK327708 LCG327708 LMC327708 LVY327708 MFU327708 MPQ327708 MZM327708 NJI327708 NTE327708 ODA327708 OMW327708 OWS327708 PGO327708 PQK327708 QAG327708 QKC327708 QTY327708 RDU327708 RNQ327708 RXM327708 SHI327708 SRE327708 TBA327708 TKW327708 TUS327708 UEO327708 UOK327708 UYG327708 VIC327708 VRY327708 WBU327708 WLQ327708 WVM327708 E393244 JA393244 SW393244 ACS393244 AMO393244 AWK393244 BGG393244 BQC393244 BZY393244 CJU393244 CTQ393244 DDM393244 DNI393244 DXE393244 EHA393244 EQW393244 FAS393244 FKO393244 FUK393244 GEG393244 GOC393244 GXY393244 HHU393244 HRQ393244 IBM393244 ILI393244 IVE393244 JFA393244 JOW393244 JYS393244 KIO393244 KSK393244 LCG393244 LMC393244 LVY393244 MFU393244 MPQ393244 MZM393244 NJI393244 NTE393244 ODA393244 OMW393244 OWS393244 PGO393244 PQK393244 QAG393244 QKC393244 QTY393244 RDU393244 RNQ393244 RXM393244 SHI393244 SRE393244 TBA393244 TKW393244 TUS393244 UEO393244 UOK393244 UYG393244 VIC393244 VRY393244 WBU393244 WLQ393244 WVM393244 E458780 JA458780 SW458780 ACS458780 AMO458780 AWK458780 BGG458780 BQC458780 BZY458780 CJU458780 CTQ458780 DDM458780 DNI458780 DXE458780 EHA458780 EQW458780 FAS458780 FKO458780 FUK458780 GEG458780 GOC458780 GXY458780 HHU458780 HRQ458780 IBM458780 ILI458780 IVE458780 JFA458780 JOW458780 JYS458780 KIO458780 KSK458780 LCG458780 LMC458780 LVY458780 MFU458780 MPQ458780 MZM458780 NJI458780 NTE458780 ODA458780 OMW458780 OWS458780 PGO458780 PQK458780 QAG458780 QKC458780 QTY458780 RDU458780 RNQ458780 RXM458780 SHI458780 SRE458780 TBA458780 TKW458780 TUS458780 UEO458780 UOK458780 UYG458780 VIC458780 VRY458780 WBU458780 WLQ458780 WVM458780 E524316 JA524316 SW524316 ACS524316 AMO524316 AWK524316 BGG524316 BQC524316 BZY524316 CJU524316 CTQ524316 DDM524316 DNI524316 DXE524316 EHA524316 EQW524316 FAS524316 FKO524316 FUK524316 GEG524316 GOC524316 GXY524316 HHU524316 HRQ524316 IBM524316 ILI524316 IVE524316 JFA524316 JOW524316 JYS524316 KIO524316 KSK524316 LCG524316 LMC524316 LVY524316 MFU524316 MPQ524316 MZM524316 NJI524316 NTE524316 ODA524316 OMW524316 OWS524316 PGO524316 PQK524316 QAG524316 QKC524316 QTY524316 RDU524316 RNQ524316 RXM524316 SHI524316 SRE524316 TBA524316 TKW524316 TUS524316 UEO524316 UOK524316 UYG524316 VIC524316 VRY524316 WBU524316 WLQ524316 WVM524316 E589852 JA589852 SW589852 ACS589852 AMO589852 AWK589852 BGG589852 BQC589852 BZY589852 CJU589852 CTQ589852 DDM589852 DNI589852 DXE589852 EHA589852 EQW589852 FAS589852 FKO589852 FUK589852 GEG589852 GOC589852 GXY589852 HHU589852 HRQ589852 IBM589852 ILI589852 IVE589852 JFA589852 JOW589852 JYS589852 KIO589852 KSK589852 LCG589852 LMC589852 LVY589852 MFU589852 MPQ589852 MZM589852 NJI589852 NTE589852 ODA589852 OMW589852 OWS589852 PGO589852 PQK589852 QAG589852 QKC589852 QTY589852 RDU589852 RNQ589852 RXM589852 SHI589852 SRE589852 TBA589852 TKW589852 TUS589852 UEO589852 UOK589852 UYG589852 VIC589852 VRY589852 WBU589852 WLQ589852 WVM589852 E655388 JA655388 SW655388 ACS655388 AMO655388 AWK655388 BGG655388 BQC655388 BZY655388 CJU655388 CTQ655388 DDM655388 DNI655388 DXE655388 EHA655388 EQW655388 FAS655388 FKO655388 FUK655388 GEG655388 GOC655388 GXY655388 HHU655388 HRQ655388 IBM655388 ILI655388 IVE655388 JFA655388 JOW655388 JYS655388 KIO655388 KSK655388 LCG655388 LMC655388 LVY655388 MFU655388 MPQ655388 MZM655388 NJI655388 NTE655388 ODA655388 OMW655388 OWS655388 PGO655388 PQK655388 QAG655388 QKC655388 QTY655388 RDU655388 RNQ655388 RXM655388 SHI655388 SRE655388 TBA655388 TKW655388 TUS655388 UEO655388 UOK655388 UYG655388 VIC655388 VRY655388 WBU655388 WLQ655388 WVM655388 E720924 JA720924 SW720924 ACS720924 AMO720924 AWK720924 BGG720924 BQC720924 BZY720924 CJU720924 CTQ720924 DDM720924 DNI720924 DXE720924 EHA720924 EQW720924 FAS720924 FKO720924 FUK720924 GEG720924 GOC720924 GXY720924 HHU720924 HRQ720924 IBM720924 ILI720924 IVE720924 JFA720924 JOW720924 JYS720924 KIO720924 KSK720924 LCG720924 LMC720924 LVY720924 MFU720924 MPQ720924 MZM720924 NJI720924 NTE720924 ODA720924 OMW720924 OWS720924 PGO720924 PQK720924 QAG720924 QKC720924 QTY720924 RDU720924 RNQ720924 RXM720924 SHI720924 SRE720924 TBA720924 TKW720924 TUS720924 UEO720924 UOK720924 UYG720924 VIC720924 VRY720924 WBU720924 WLQ720924 WVM720924 E786460 JA786460 SW786460 ACS786460 AMO786460 AWK786460 BGG786460 BQC786460 BZY786460 CJU786460 CTQ786460 DDM786460 DNI786460 DXE786460 EHA786460 EQW786460 FAS786460 FKO786460 FUK786460 GEG786460 GOC786460 GXY786460 HHU786460 HRQ786460 IBM786460 ILI786460 IVE786460 JFA786460 JOW786460 JYS786460 KIO786460 KSK786460 LCG786460 LMC786460 LVY786460 MFU786460 MPQ786460 MZM786460 NJI786460 NTE786460 ODA786460 OMW786460 OWS786460 PGO786460 PQK786460 QAG786460 QKC786460 QTY786460 RDU786460 RNQ786460 RXM786460 SHI786460 SRE786460 TBA786460 TKW786460 TUS786460 UEO786460 UOK786460 UYG786460 VIC786460 VRY786460 WBU786460 WLQ786460 WVM786460 E851996 JA851996 SW851996 ACS851996 AMO851996 AWK851996 BGG851996 BQC851996 BZY851996 CJU851996 CTQ851996 DDM851996 DNI851996 DXE851996 EHA851996 EQW851996 FAS851996 FKO851996 FUK851996 GEG851996 GOC851996 GXY851996 HHU851996 HRQ851996 IBM851996 ILI851996 IVE851996 JFA851996 JOW851996 JYS851996 KIO851996 KSK851996 LCG851996 LMC851996 LVY851996 MFU851996 MPQ851996 MZM851996 NJI851996 NTE851996 ODA851996 OMW851996 OWS851996 PGO851996 PQK851996 QAG851996 QKC851996 QTY851996 RDU851996 RNQ851996 RXM851996 SHI851996 SRE851996 TBA851996 TKW851996 TUS851996 UEO851996 UOK851996 UYG851996 VIC851996 VRY851996 WBU851996 WLQ851996 WVM851996 E917532 JA917532 SW917532 ACS917532 AMO917532 AWK917532 BGG917532 BQC917532 BZY917532 CJU917532 CTQ917532 DDM917532 DNI917532 DXE917532 EHA917532 EQW917532 FAS917532 FKO917532 FUK917532 GEG917532 GOC917532 GXY917532 HHU917532 HRQ917532 IBM917532 ILI917532 IVE917532 JFA917532 JOW917532 JYS917532 KIO917532 KSK917532 LCG917532 LMC917532 LVY917532 MFU917532 MPQ917532 MZM917532 NJI917532 NTE917532 ODA917532 OMW917532 OWS917532 PGO917532 PQK917532 QAG917532 QKC917532 QTY917532 RDU917532 RNQ917532 RXM917532 SHI917532 SRE917532 TBA917532 TKW917532 TUS917532 UEO917532 UOK917532 UYG917532 VIC917532 VRY917532 WBU917532 WLQ917532 WVM917532 E983068 JA983068 SW983068 ACS983068 AMO983068 AWK983068 BGG983068 BQC983068 BZY983068 CJU983068 CTQ983068 DDM983068 DNI983068 DXE983068 EHA983068 EQW983068 FAS983068 FKO983068 FUK983068 GEG983068 GOC983068 GXY983068 HHU983068 HRQ983068 IBM983068 ILI983068 IVE983068 JFA983068 JOW983068 JYS983068 KIO983068 KSK983068 LCG983068 LMC983068 LVY983068 MFU983068 MPQ983068 MZM983068 NJI983068 NTE983068 ODA983068 OMW983068 OWS983068 PGO983068 PQK983068 QAG983068 QKC983068 QTY983068 RDU983068 RNQ983068 RXM983068 SHI983068 SRE983068 TBA983068 TKW983068 TUS983068 UEO983068 UOK983068 UYG983068 VIC983068 VRY983068 WBU983068 WLQ983068 WVM983068" xr:uid="{00000000-0002-0000-0400-000000000000}">
      <formula1>"Yes, No"</formula1>
    </dataValidation>
    <dataValidation type="list" allowBlank="1" showInputMessage="1" showErrorMessage="1" errorTitle="Invalid Entry" error="Please select Case 1, Case 2 or Case 3 as defined." sqref="E42 JC25 SY25 ACU25 AMQ25 AWM25 BGI25 BQE25 CAA25 CJW25 CTS25 DDO25 DNK25 DXG25 EHC25 EQY25 FAU25 FKQ25 FUM25 GEI25 GOE25 GYA25 HHW25 HRS25 IBO25 ILK25 IVG25 JFC25 JOY25 JYU25 KIQ25 KSM25 LCI25 LME25 LWA25 MFW25 MPS25 MZO25 NJK25 NTG25 ODC25 OMY25 OWU25 PGQ25 PQM25 QAI25 QKE25 QUA25 RDW25 RNS25 RXO25 SHK25 SRG25 TBC25 TKY25 TUU25 UEQ25 UOM25 UYI25 VIE25 VSA25 WBW25 WLS25 WVO25 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xr:uid="{00000000-0002-0000-0400-000001000000}">
      <formula1>"Case 1, Case 2, Case 3"</formula1>
    </dataValidation>
    <dataValidation type="list" allowBlank="1" showInputMessage="1" showErrorMessage="1" errorTitle="Invalid Entry" error="Please Select Yes or No." sqref="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E41" xr:uid="{00000000-0002-0000-0400-000002000000}">
      <formula1>"Yes, No"</formula1>
    </dataValidation>
    <dataValidation type="custom" allowBlank="1" showInputMessage="1" showErrorMessage="1" sqref="D71 IZ55 SV55 ACR55 AMN55 AWJ55 BGF55 BQB55 BZX55 CJT55 CTP55 DDL55 DNH55 DXD55 EGZ55 EQV55 FAR55 FKN55 FUJ55 GEF55 GOB55 GXX55 HHT55 HRP55 IBL55 ILH55 IVD55 JEZ55 JOV55 JYR55 KIN55 KSJ55 LCF55 LMB55 LVX55 MFT55 MPP55 MZL55 NJH55 NTD55 OCZ55 OMV55 OWR55 PGN55 PQJ55 QAF55 QKB55 QTX55 RDT55 RNP55 RXL55 SHH55 SRD55 TAZ55 TKV55 TUR55 UEN55 UOJ55 UYF55 VIB55 VRX55 WBT55 WLP55 WVL55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JL62 TH62 ADD62 AMZ62 AWV62 BGR62 BQN62 CAJ62 CKF62 CUB62 DDX62 DNT62 DXP62 EHL62 ERH62 FBD62 FKZ62 FUV62 GER62 GON62 GYJ62 HIF62 HSB62 IBX62 ILT62 IVP62 JFL62 JPH62 JZD62 KIZ62 KSV62 LCR62 LMN62 LWJ62 MGF62 MQB62 MZX62 NJT62 NTP62 ODL62 ONH62 OXD62 PGZ62 PQV62 QAR62 QKN62 QUJ62 REF62 ROB62 RXX62 SHT62 SRP62 TBL62 TLH62 TVD62 UEZ62 UOV62 UYR62 VIN62 VSJ62 WCF62 WMB62 WVX62 P65598 JL65598 TH65598 ADD65598 AMZ65598 AWV65598 BGR65598 BQN65598 CAJ65598 CKF65598 CUB65598 DDX65598 DNT65598 DXP65598 EHL65598 ERH65598 FBD65598 FKZ65598 FUV65598 GER65598 GON65598 GYJ65598 HIF65598 HSB65598 IBX65598 ILT65598 IVP65598 JFL65598 JPH65598 JZD65598 KIZ65598 KSV65598 LCR65598 LMN65598 LWJ65598 MGF65598 MQB65598 MZX65598 NJT65598 NTP65598 ODL65598 ONH65598 OXD65598 PGZ65598 PQV65598 QAR65598 QKN65598 QUJ65598 REF65598 ROB65598 RXX65598 SHT65598 SRP65598 TBL65598 TLH65598 TVD65598 UEZ65598 UOV65598 UYR65598 VIN65598 VSJ65598 WCF65598 WMB65598 WVX65598 P131134 JL131134 TH131134 ADD131134 AMZ131134 AWV131134 BGR131134 BQN131134 CAJ131134 CKF131134 CUB131134 DDX131134 DNT131134 DXP131134 EHL131134 ERH131134 FBD131134 FKZ131134 FUV131134 GER131134 GON131134 GYJ131134 HIF131134 HSB131134 IBX131134 ILT131134 IVP131134 JFL131134 JPH131134 JZD131134 KIZ131134 KSV131134 LCR131134 LMN131134 LWJ131134 MGF131134 MQB131134 MZX131134 NJT131134 NTP131134 ODL131134 ONH131134 OXD131134 PGZ131134 PQV131134 QAR131134 QKN131134 QUJ131134 REF131134 ROB131134 RXX131134 SHT131134 SRP131134 TBL131134 TLH131134 TVD131134 UEZ131134 UOV131134 UYR131134 VIN131134 VSJ131134 WCF131134 WMB131134 WVX131134 P196670 JL196670 TH196670 ADD196670 AMZ196670 AWV196670 BGR196670 BQN196670 CAJ196670 CKF196670 CUB196670 DDX196670 DNT196670 DXP196670 EHL196670 ERH196670 FBD196670 FKZ196670 FUV196670 GER196670 GON196670 GYJ196670 HIF196670 HSB196670 IBX196670 ILT196670 IVP196670 JFL196670 JPH196670 JZD196670 KIZ196670 KSV196670 LCR196670 LMN196670 LWJ196670 MGF196670 MQB196670 MZX196670 NJT196670 NTP196670 ODL196670 ONH196670 OXD196670 PGZ196670 PQV196670 QAR196670 QKN196670 QUJ196670 REF196670 ROB196670 RXX196670 SHT196670 SRP196670 TBL196670 TLH196670 TVD196670 UEZ196670 UOV196670 UYR196670 VIN196670 VSJ196670 WCF196670 WMB196670 WVX196670 P262206 JL262206 TH262206 ADD262206 AMZ262206 AWV262206 BGR262206 BQN262206 CAJ262206 CKF262206 CUB262206 DDX262206 DNT262206 DXP262206 EHL262206 ERH262206 FBD262206 FKZ262206 FUV262206 GER262206 GON262206 GYJ262206 HIF262206 HSB262206 IBX262206 ILT262206 IVP262206 JFL262206 JPH262206 JZD262206 KIZ262206 KSV262206 LCR262206 LMN262206 LWJ262206 MGF262206 MQB262206 MZX262206 NJT262206 NTP262206 ODL262206 ONH262206 OXD262206 PGZ262206 PQV262206 QAR262206 QKN262206 QUJ262206 REF262206 ROB262206 RXX262206 SHT262206 SRP262206 TBL262206 TLH262206 TVD262206 UEZ262206 UOV262206 UYR262206 VIN262206 VSJ262206 WCF262206 WMB262206 WVX262206 P327742 JL327742 TH327742 ADD327742 AMZ327742 AWV327742 BGR327742 BQN327742 CAJ327742 CKF327742 CUB327742 DDX327742 DNT327742 DXP327742 EHL327742 ERH327742 FBD327742 FKZ327742 FUV327742 GER327742 GON327742 GYJ327742 HIF327742 HSB327742 IBX327742 ILT327742 IVP327742 JFL327742 JPH327742 JZD327742 KIZ327742 KSV327742 LCR327742 LMN327742 LWJ327742 MGF327742 MQB327742 MZX327742 NJT327742 NTP327742 ODL327742 ONH327742 OXD327742 PGZ327742 PQV327742 QAR327742 QKN327742 QUJ327742 REF327742 ROB327742 RXX327742 SHT327742 SRP327742 TBL327742 TLH327742 TVD327742 UEZ327742 UOV327742 UYR327742 VIN327742 VSJ327742 WCF327742 WMB327742 WVX327742 P393278 JL393278 TH393278 ADD393278 AMZ393278 AWV393278 BGR393278 BQN393278 CAJ393278 CKF393278 CUB393278 DDX393278 DNT393278 DXP393278 EHL393278 ERH393278 FBD393278 FKZ393278 FUV393278 GER393278 GON393278 GYJ393278 HIF393278 HSB393278 IBX393278 ILT393278 IVP393278 JFL393278 JPH393278 JZD393278 KIZ393278 KSV393278 LCR393278 LMN393278 LWJ393278 MGF393278 MQB393278 MZX393278 NJT393278 NTP393278 ODL393278 ONH393278 OXD393278 PGZ393278 PQV393278 QAR393278 QKN393278 QUJ393278 REF393278 ROB393278 RXX393278 SHT393278 SRP393278 TBL393278 TLH393278 TVD393278 UEZ393278 UOV393278 UYR393278 VIN393278 VSJ393278 WCF393278 WMB393278 WVX393278 P458814 JL458814 TH458814 ADD458814 AMZ458814 AWV458814 BGR458814 BQN458814 CAJ458814 CKF458814 CUB458814 DDX458814 DNT458814 DXP458814 EHL458814 ERH458814 FBD458814 FKZ458814 FUV458814 GER458814 GON458814 GYJ458814 HIF458814 HSB458814 IBX458814 ILT458814 IVP458814 JFL458814 JPH458814 JZD458814 KIZ458814 KSV458814 LCR458814 LMN458814 LWJ458814 MGF458814 MQB458814 MZX458814 NJT458814 NTP458814 ODL458814 ONH458814 OXD458814 PGZ458814 PQV458814 QAR458814 QKN458814 QUJ458814 REF458814 ROB458814 RXX458814 SHT458814 SRP458814 TBL458814 TLH458814 TVD458814 UEZ458814 UOV458814 UYR458814 VIN458814 VSJ458814 WCF458814 WMB458814 WVX458814 P524350 JL524350 TH524350 ADD524350 AMZ524350 AWV524350 BGR524350 BQN524350 CAJ524350 CKF524350 CUB524350 DDX524350 DNT524350 DXP524350 EHL524350 ERH524350 FBD524350 FKZ524350 FUV524350 GER524350 GON524350 GYJ524350 HIF524350 HSB524350 IBX524350 ILT524350 IVP524350 JFL524350 JPH524350 JZD524350 KIZ524350 KSV524350 LCR524350 LMN524350 LWJ524350 MGF524350 MQB524350 MZX524350 NJT524350 NTP524350 ODL524350 ONH524350 OXD524350 PGZ524350 PQV524350 QAR524350 QKN524350 QUJ524350 REF524350 ROB524350 RXX524350 SHT524350 SRP524350 TBL524350 TLH524350 TVD524350 UEZ524350 UOV524350 UYR524350 VIN524350 VSJ524350 WCF524350 WMB524350 WVX524350 P589886 JL589886 TH589886 ADD589886 AMZ589886 AWV589886 BGR589886 BQN589886 CAJ589886 CKF589886 CUB589886 DDX589886 DNT589886 DXP589886 EHL589886 ERH589886 FBD589886 FKZ589886 FUV589886 GER589886 GON589886 GYJ589886 HIF589886 HSB589886 IBX589886 ILT589886 IVP589886 JFL589886 JPH589886 JZD589886 KIZ589886 KSV589886 LCR589886 LMN589886 LWJ589886 MGF589886 MQB589886 MZX589886 NJT589886 NTP589886 ODL589886 ONH589886 OXD589886 PGZ589886 PQV589886 QAR589886 QKN589886 QUJ589886 REF589886 ROB589886 RXX589886 SHT589886 SRP589886 TBL589886 TLH589886 TVD589886 UEZ589886 UOV589886 UYR589886 VIN589886 VSJ589886 WCF589886 WMB589886 WVX589886 P655422 JL655422 TH655422 ADD655422 AMZ655422 AWV655422 BGR655422 BQN655422 CAJ655422 CKF655422 CUB655422 DDX655422 DNT655422 DXP655422 EHL655422 ERH655422 FBD655422 FKZ655422 FUV655422 GER655422 GON655422 GYJ655422 HIF655422 HSB655422 IBX655422 ILT655422 IVP655422 JFL655422 JPH655422 JZD655422 KIZ655422 KSV655422 LCR655422 LMN655422 LWJ655422 MGF655422 MQB655422 MZX655422 NJT655422 NTP655422 ODL655422 ONH655422 OXD655422 PGZ655422 PQV655422 QAR655422 QKN655422 QUJ655422 REF655422 ROB655422 RXX655422 SHT655422 SRP655422 TBL655422 TLH655422 TVD655422 UEZ655422 UOV655422 UYR655422 VIN655422 VSJ655422 WCF655422 WMB655422 WVX655422 P720958 JL720958 TH720958 ADD720958 AMZ720958 AWV720958 BGR720958 BQN720958 CAJ720958 CKF720958 CUB720958 DDX720958 DNT720958 DXP720958 EHL720958 ERH720958 FBD720958 FKZ720958 FUV720958 GER720958 GON720958 GYJ720958 HIF720958 HSB720958 IBX720958 ILT720958 IVP720958 JFL720958 JPH720958 JZD720958 KIZ720958 KSV720958 LCR720958 LMN720958 LWJ720958 MGF720958 MQB720958 MZX720958 NJT720958 NTP720958 ODL720958 ONH720958 OXD720958 PGZ720958 PQV720958 QAR720958 QKN720958 QUJ720958 REF720958 ROB720958 RXX720958 SHT720958 SRP720958 TBL720958 TLH720958 TVD720958 UEZ720958 UOV720958 UYR720958 VIN720958 VSJ720958 WCF720958 WMB720958 WVX720958 P786494 JL786494 TH786494 ADD786494 AMZ786494 AWV786494 BGR786494 BQN786494 CAJ786494 CKF786494 CUB786494 DDX786494 DNT786494 DXP786494 EHL786494 ERH786494 FBD786494 FKZ786494 FUV786494 GER786494 GON786494 GYJ786494 HIF786494 HSB786494 IBX786494 ILT786494 IVP786494 JFL786494 JPH786494 JZD786494 KIZ786494 KSV786494 LCR786494 LMN786494 LWJ786494 MGF786494 MQB786494 MZX786494 NJT786494 NTP786494 ODL786494 ONH786494 OXD786494 PGZ786494 PQV786494 QAR786494 QKN786494 QUJ786494 REF786494 ROB786494 RXX786494 SHT786494 SRP786494 TBL786494 TLH786494 TVD786494 UEZ786494 UOV786494 UYR786494 VIN786494 VSJ786494 WCF786494 WMB786494 WVX786494 P852030 JL852030 TH852030 ADD852030 AMZ852030 AWV852030 BGR852030 BQN852030 CAJ852030 CKF852030 CUB852030 DDX852030 DNT852030 DXP852030 EHL852030 ERH852030 FBD852030 FKZ852030 FUV852030 GER852030 GON852030 GYJ852030 HIF852030 HSB852030 IBX852030 ILT852030 IVP852030 JFL852030 JPH852030 JZD852030 KIZ852030 KSV852030 LCR852030 LMN852030 LWJ852030 MGF852030 MQB852030 MZX852030 NJT852030 NTP852030 ODL852030 ONH852030 OXD852030 PGZ852030 PQV852030 QAR852030 QKN852030 QUJ852030 REF852030 ROB852030 RXX852030 SHT852030 SRP852030 TBL852030 TLH852030 TVD852030 UEZ852030 UOV852030 UYR852030 VIN852030 VSJ852030 WCF852030 WMB852030 WVX852030 P917566 JL917566 TH917566 ADD917566 AMZ917566 AWV917566 BGR917566 BQN917566 CAJ917566 CKF917566 CUB917566 DDX917566 DNT917566 DXP917566 EHL917566 ERH917566 FBD917566 FKZ917566 FUV917566 GER917566 GON917566 GYJ917566 HIF917566 HSB917566 IBX917566 ILT917566 IVP917566 JFL917566 JPH917566 JZD917566 KIZ917566 KSV917566 LCR917566 LMN917566 LWJ917566 MGF917566 MQB917566 MZX917566 NJT917566 NTP917566 ODL917566 ONH917566 OXD917566 PGZ917566 PQV917566 QAR917566 QKN917566 QUJ917566 REF917566 ROB917566 RXX917566 SHT917566 SRP917566 TBL917566 TLH917566 TVD917566 UEZ917566 UOV917566 UYR917566 VIN917566 VSJ917566 WCF917566 WMB917566 WVX917566 P983102 JL983102 TH983102 ADD983102 AMZ983102 AWV983102 BGR983102 BQN983102 CAJ983102 CKF983102 CUB983102 DDX983102 DNT983102 DXP983102 EHL983102 ERH983102 FBD983102 FKZ983102 FUV983102 GER983102 GON983102 GYJ983102 HIF983102 HSB983102 IBX983102 ILT983102 IVP983102 JFL983102 JPH983102 JZD983102 KIZ983102 KSV983102 LCR983102 LMN983102 LWJ983102 MGF983102 MQB983102 MZX983102 NJT983102 NTP983102 ODL983102 ONH983102 OXD983102 PGZ983102 PQV983102 QAR983102 QKN983102 QUJ983102 REF983102 ROB983102 RXX983102 SHT983102 SRP983102 TBL983102 TLH983102 TVD983102 UEZ983102 UOV983102 UYR983102 VIN983102 VSJ983102 WCF983102 WMB983102 WVX983102" xr:uid="{00000000-0002-0000-0400-000003000000}">
      <formula1>IF(D55&gt;1,1,D55)</formula1>
    </dataValidation>
    <dataValidation allowBlank="1" showInputMessage="1" showErrorMessage="1" prompt="The base plate length, 'N', is the length of the base plate parallel to the web (Y-axis) of the column." sqref="WVM98305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50 JA65550 SW65550 ACS65550 AMO65550 AWK65550 BGG65550 BQC65550 BZY65550 CJU65550 CTQ65550 DDM65550 DNI65550 DXE65550 EHA65550 EQW65550 FAS65550 FKO65550 FUK65550 GEG65550 GOC65550 GXY65550 HHU65550 HRQ65550 IBM65550 ILI65550 IVE65550 JFA65550 JOW65550 JYS65550 KIO65550 KSK65550 LCG65550 LMC65550 LVY65550 MFU65550 MPQ65550 MZM65550 NJI65550 NTE65550 ODA65550 OMW65550 OWS65550 PGO65550 PQK65550 QAG65550 QKC65550 QTY65550 RDU65550 RNQ65550 RXM65550 SHI65550 SRE65550 TBA65550 TKW65550 TUS65550 UEO65550 UOK65550 UYG65550 VIC65550 VRY65550 WBU65550 WLQ65550 WVM65550 E131086 JA131086 SW131086 ACS131086 AMO131086 AWK131086 BGG131086 BQC131086 BZY131086 CJU131086 CTQ131086 DDM131086 DNI131086 DXE131086 EHA131086 EQW131086 FAS131086 FKO131086 FUK131086 GEG131086 GOC131086 GXY131086 HHU131086 HRQ131086 IBM131086 ILI131086 IVE131086 JFA131086 JOW131086 JYS131086 KIO131086 KSK131086 LCG131086 LMC131086 LVY131086 MFU131086 MPQ131086 MZM131086 NJI131086 NTE131086 ODA131086 OMW131086 OWS131086 PGO131086 PQK131086 QAG131086 QKC131086 QTY131086 RDU131086 RNQ131086 RXM131086 SHI131086 SRE131086 TBA131086 TKW131086 TUS131086 UEO131086 UOK131086 UYG131086 VIC131086 VRY131086 WBU131086 WLQ131086 WVM131086 E196622 JA196622 SW196622 ACS196622 AMO196622 AWK196622 BGG196622 BQC196622 BZY196622 CJU196622 CTQ196622 DDM196622 DNI196622 DXE196622 EHA196622 EQW196622 FAS196622 FKO196622 FUK196622 GEG196622 GOC196622 GXY196622 HHU196622 HRQ196622 IBM196622 ILI196622 IVE196622 JFA196622 JOW196622 JYS196622 KIO196622 KSK196622 LCG196622 LMC196622 LVY196622 MFU196622 MPQ196622 MZM196622 NJI196622 NTE196622 ODA196622 OMW196622 OWS196622 PGO196622 PQK196622 QAG196622 QKC196622 QTY196622 RDU196622 RNQ196622 RXM196622 SHI196622 SRE196622 TBA196622 TKW196622 TUS196622 UEO196622 UOK196622 UYG196622 VIC196622 VRY196622 WBU196622 WLQ196622 WVM196622 E262158 JA262158 SW262158 ACS262158 AMO262158 AWK262158 BGG262158 BQC262158 BZY262158 CJU262158 CTQ262158 DDM262158 DNI262158 DXE262158 EHA262158 EQW262158 FAS262158 FKO262158 FUK262158 GEG262158 GOC262158 GXY262158 HHU262158 HRQ262158 IBM262158 ILI262158 IVE262158 JFA262158 JOW262158 JYS262158 KIO262158 KSK262158 LCG262158 LMC262158 LVY262158 MFU262158 MPQ262158 MZM262158 NJI262158 NTE262158 ODA262158 OMW262158 OWS262158 PGO262158 PQK262158 QAG262158 QKC262158 QTY262158 RDU262158 RNQ262158 RXM262158 SHI262158 SRE262158 TBA262158 TKW262158 TUS262158 UEO262158 UOK262158 UYG262158 VIC262158 VRY262158 WBU262158 WLQ262158 WVM262158 E327694 JA327694 SW327694 ACS327694 AMO327694 AWK327694 BGG327694 BQC327694 BZY327694 CJU327694 CTQ327694 DDM327694 DNI327694 DXE327694 EHA327694 EQW327694 FAS327694 FKO327694 FUK327694 GEG327694 GOC327694 GXY327694 HHU327694 HRQ327694 IBM327694 ILI327694 IVE327694 JFA327694 JOW327694 JYS327694 KIO327694 KSK327694 LCG327694 LMC327694 LVY327694 MFU327694 MPQ327694 MZM327694 NJI327694 NTE327694 ODA327694 OMW327694 OWS327694 PGO327694 PQK327694 QAG327694 QKC327694 QTY327694 RDU327694 RNQ327694 RXM327694 SHI327694 SRE327694 TBA327694 TKW327694 TUS327694 UEO327694 UOK327694 UYG327694 VIC327694 VRY327694 WBU327694 WLQ327694 WVM327694 E393230 JA393230 SW393230 ACS393230 AMO393230 AWK393230 BGG393230 BQC393230 BZY393230 CJU393230 CTQ393230 DDM393230 DNI393230 DXE393230 EHA393230 EQW393230 FAS393230 FKO393230 FUK393230 GEG393230 GOC393230 GXY393230 HHU393230 HRQ393230 IBM393230 ILI393230 IVE393230 JFA393230 JOW393230 JYS393230 KIO393230 KSK393230 LCG393230 LMC393230 LVY393230 MFU393230 MPQ393230 MZM393230 NJI393230 NTE393230 ODA393230 OMW393230 OWS393230 PGO393230 PQK393230 QAG393230 QKC393230 QTY393230 RDU393230 RNQ393230 RXM393230 SHI393230 SRE393230 TBA393230 TKW393230 TUS393230 UEO393230 UOK393230 UYG393230 VIC393230 VRY393230 WBU393230 WLQ393230 WVM393230 E458766 JA458766 SW458766 ACS458766 AMO458766 AWK458766 BGG458766 BQC458766 BZY458766 CJU458766 CTQ458766 DDM458766 DNI458766 DXE458766 EHA458766 EQW458766 FAS458766 FKO458766 FUK458766 GEG458766 GOC458766 GXY458766 HHU458766 HRQ458766 IBM458766 ILI458766 IVE458766 JFA458766 JOW458766 JYS458766 KIO458766 KSK458766 LCG458766 LMC458766 LVY458766 MFU458766 MPQ458766 MZM458766 NJI458766 NTE458766 ODA458766 OMW458766 OWS458766 PGO458766 PQK458766 QAG458766 QKC458766 QTY458766 RDU458766 RNQ458766 RXM458766 SHI458766 SRE458766 TBA458766 TKW458766 TUS458766 UEO458766 UOK458766 UYG458766 VIC458766 VRY458766 WBU458766 WLQ458766 WVM458766 E524302 JA524302 SW524302 ACS524302 AMO524302 AWK524302 BGG524302 BQC524302 BZY524302 CJU524302 CTQ524302 DDM524302 DNI524302 DXE524302 EHA524302 EQW524302 FAS524302 FKO524302 FUK524302 GEG524302 GOC524302 GXY524302 HHU524302 HRQ524302 IBM524302 ILI524302 IVE524302 JFA524302 JOW524302 JYS524302 KIO524302 KSK524302 LCG524302 LMC524302 LVY524302 MFU524302 MPQ524302 MZM524302 NJI524302 NTE524302 ODA524302 OMW524302 OWS524302 PGO524302 PQK524302 QAG524302 QKC524302 QTY524302 RDU524302 RNQ524302 RXM524302 SHI524302 SRE524302 TBA524302 TKW524302 TUS524302 UEO524302 UOK524302 UYG524302 VIC524302 VRY524302 WBU524302 WLQ524302 WVM524302 E589838 JA589838 SW589838 ACS589838 AMO589838 AWK589838 BGG589838 BQC589838 BZY589838 CJU589838 CTQ589838 DDM589838 DNI589838 DXE589838 EHA589838 EQW589838 FAS589838 FKO589838 FUK589838 GEG589838 GOC589838 GXY589838 HHU589838 HRQ589838 IBM589838 ILI589838 IVE589838 JFA589838 JOW589838 JYS589838 KIO589838 KSK589838 LCG589838 LMC589838 LVY589838 MFU589838 MPQ589838 MZM589838 NJI589838 NTE589838 ODA589838 OMW589838 OWS589838 PGO589838 PQK589838 QAG589838 QKC589838 QTY589838 RDU589838 RNQ589838 RXM589838 SHI589838 SRE589838 TBA589838 TKW589838 TUS589838 UEO589838 UOK589838 UYG589838 VIC589838 VRY589838 WBU589838 WLQ589838 WVM589838 E655374 JA655374 SW655374 ACS655374 AMO655374 AWK655374 BGG655374 BQC655374 BZY655374 CJU655374 CTQ655374 DDM655374 DNI655374 DXE655374 EHA655374 EQW655374 FAS655374 FKO655374 FUK655374 GEG655374 GOC655374 GXY655374 HHU655374 HRQ655374 IBM655374 ILI655374 IVE655374 JFA655374 JOW655374 JYS655374 KIO655374 KSK655374 LCG655374 LMC655374 LVY655374 MFU655374 MPQ655374 MZM655374 NJI655374 NTE655374 ODA655374 OMW655374 OWS655374 PGO655374 PQK655374 QAG655374 QKC655374 QTY655374 RDU655374 RNQ655374 RXM655374 SHI655374 SRE655374 TBA655374 TKW655374 TUS655374 UEO655374 UOK655374 UYG655374 VIC655374 VRY655374 WBU655374 WLQ655374 WVM655374 E720910 JA720910 SW720910 ACS720910 AMO720910 AWK720910 BGG720910 BQC720910 BZY720910 CJU720910 CTQ720910 DDM720910 DNI720910 DXE720910 EHA720910 EQW720910 FAS720910 FKO720910 FUK720910 GEG720910 GOC720910 GXY720910 HHU720910 HRQ720910 IBM720910 ILI720910 IVE720910 JFA720910 JOW720910 JYS720910 KIO720910 KSK720910 LCG720910 LMC720910 LVY720910 MFU720910 MPQ720910 MZM720910 NJI720910 NTE720910 ODA720910 OMW720910 OWS720910 PGO720910 PQK720910 QAG720910 QKC720910 QTY720910 RDU720910 RNQ720910 RXM720910 SHI720910 SRE720910 TBA720910 TKW720910 TUS720910 UEO720910 UOK720910 UYG720910 VIC720910 VRY720910 WBU720910 WLQ720910 WVM720910 E786446 JA786446 SW786446 ACS786446 AMO786446 AWK786446 BGG786446 BQC786446 BZY786446 CJU786446 CTQ786446 DDM786446 DNI786446 DXE786446 EHA786446 EQW786446 FAS786446 FKO786446 FUK786446 GEG786446 GOC786446 GXY786446 HHU786446 HRQ786446 IBM786446 ILI786446 IVE786446 JFA786446 JOW786446 JYS786446 KIO786446 KSK786446 LCG786446 LMC786446 LVY786446 MFU786446 MPQ786446 MZM786446 NJI786446 NTE786446 ODA786446 OMW786446 OWS786446 PGO786446 PQK786446 QAG786446 QKC786446 QTY786446 RDU786446 RNQ786446 RXM786446 SHI786446 SRE786446 TBA786446 TKW786446 TUS786446 UEO786446 UOK786446 UYG786446 VIC786446 VRY786446 WBU786446 WLQ786446 WVM786446 E851982 JA851982 SW851982 ACS851982 AMO851982 AWK851982 BGG851982 BQC851982 BZY851982 CJU851982 CTQ851982 DDM851982 DNI851982 DXE851982 EHA851982 EQW851982 FAS851982 FKO851982 FUK851982 GEG851982 GOC851982 GXY851982 HHU851982 HRQ851982 IBM851982 ILI851982 IVE851982 JFA851982 JOW851982 JYS851982 KIO851982 KSK851982 LCG851982 LMC851982 LVY851982 MFU851982 MPQ851982 MZM851982 NJI851982 NTE851982 ODA851982 OMW851982 OWS851982 PGO851982 PQK851982 QAG851982 QKC851982 QTY851982 RDU851982 RNQ851982 RXM851982 SHI851982 SRE851982 TBA851982 TKW851982 TUS851982 UEO851982 UOK851982 UYG851982 VIC851982 VRY851982 WBU851982 WLQ851982 WVM851982 E917518 JA917518 SW917518 ACS917518 AMO917518 AWK917518 BGG917518 BQC917518 BZY917518 CJU917518 CTQ917518 DDM917518 DNI917518 DXE917518 EHA917518 EQW917518 FAS917518 FKO917518 FUK917518 GEG917518 GOC917518 GXY917518 HHU917518 HRQ917518 IBM917518 ILI917518 IVE917518 JFA917518 JOW917518 JYS917518 KIO917518 KSK917518 LCG917518 LMC917518 LVY917518 MFU917518 MPQ917518 MZM917518 NJI917518 NTE917518 ODA917518 OMW917518 OWS917518 PGO917518 PQK917518 QAG917518 QKC917518 QTY917518 RDU917518 RNQ917518 RXM917518 SHI917518 SRE917518 TBA917518 TKW917518 TUS917518 UEO917518 UOK917518 UYG917518 VIC917518 VRY917518 WBU917518 WLQ917518 WVM917518 E983054 JA983054 SW983054 ACS983054 AMO983054 AWK983054 BGG983054 BQC983054 BZY983054 CJU983054 CTQ983054 DDM983054 DNI983054 DXE983054 EHA983054 EQW983054 FAS983054 FKO983054 FUK983054 GEG983054 GOC983054 GXY983054 HHU983054 HRQ983054 IBM983054 ILI983054 IVE983054 JFA983054 JOW983054 JYS983054 KIO983054 KSK983054 LCG983054 LMC983054 LVY983054 MFU983054 MPQ983054 MZM983054 NJI983054 NTE983054 ODA983054 OMW983054 OWS983054 PGO983054 PQK983054 QAG983054 QKC983054 QTY983054 RDU983054 RNQ983054 RXM983054 SHI983054 SRE983054 TBA983054 TKW983054 TUS983054 UEO983054 UOK983054 UYG983054 VIC983054 VRY983054 WBU983054 WLQ983054" xr:uid="{00000000-0002-0000-0400-000005000000}"/>
    <dataValidation allowBlank="1" showInputMessage="1" showErrorMessage="1" prompt="The base plate length, 'B', is the length of the base plate parallel to the flanges (X-axis) of the column." sqref="WVM98305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51 JA65551 SW65551 ACS65551 AMO65551 AWK65551 BGG65551 BQC65551 BZY65551 CJU65551 CTQ65551 DDM65551 DNI65551 DXE65551 EHA65551 EQW65551 FAS65551 FKO65551 FUK65551 GEG65551 GOC65551 GXY65551 HHU65551 HRQ65551 IBM65551 ILI65551 IVE65551 JFA65551 JOW65551 JYS65551 KIO65551 KSK65551 LCG65551 LMC65551 LVY65551 MFU65551 MPQ65551 MZM65551 NJI65551 NTE65551 ODA65551 OMW65551 OWS65551 PGO65551 PQK65551 QAG65551 QKC65551 QTY65551 RDU65551 RNQ65551 RXM65551 SHI65551 SRE65551 TBA65551 TKW65551 TUS65551 UEO65551 UOK65551 UYG65551 VIC65551 VRY65551 WBU65551 WLQ65551 WVM65551 E131087 JA131087 SW131087 ACS131087 AMO131087 AWK131087 BGG131087 BQC131087 BZY131087 CJU131087 CTQ131087 DDM131087 DNI131087 DXE131087 EHA131087 EQW131087 FAS131087 FKO131087 FUK131087 GEG131087 GOC131087 GXY131087 HHU131087 HRQ131087 IBM131087 ILI131087 IVE131087 JFA131087 JOW131087 JYS131087 KIO131087 KSK131087 LCG131087 LMC131087 LVY131087 MFU131087 MPQ131087 MZM131087 NJI131087 NTE131087 ODA131087 OMW131087 OWS131087 PGO131087 PQK131087 QAG131087 QKC131087 QTY131087 RDU131087 RNQ131087 RXM131087 SHI131087 SRE131087 TBA131087 TKW131087 TUS131087 UEO131087 UOK131087 UYG131087 VIC131087 VRY131087 WBU131087 WLQ131087 WVM131087 E196623 JA196623 SW196623 ACS196623 AMO196623 AWK196623 BGG196623 BQC196623 BZY196623 CJU196623 CTQ196623 DDM196623 DNI196623 DXE196623 EHA196623 EQW196623 FAS196623 FKO196623 FUK196623 GEG196623 GOC196623 GXY196623 HHU196623 HRQ196623 IBM196623 ILI196623 IVE196623 JFA196623 JOW196623 JYS196623 KIO196623 KSK196623 LCG196623 LMC196623 LVY196623 MFU196623 MPQ196623 MZM196623 NJI196623 NTE196623 ODA196623 OMW196623 OWS196623 PGO196623 PQK196623 QAG196623 QKC196623 QTY196623 RDU196623 RNQ196623 RXM196623 SHI196623 SRE196623 TBA196623 TKW196623 TUS196623 UEO196623 UOK196623 UYG196623 VIC196623 VRY196623 WBU196623 WLQ196623 WVM196623 E262159 JA262159 SW262159 ACS262159 AMO262159 AWK262159 BGG262159 BQC262159 BZY262159 CJU262159 CTQ262159 DDM262159 DNI262159 DXE262159 EHA262159 EQW262159 FAS262159 FKO262159 FUK262159 GEG262159 GOC262159 GXY262159 HHU262159 HRQ262159 IBM262159 ILI262159 IVE262159 JFA262159 JOW262159 JYS262159 KIO262159 KSK262159 LCG262159 LMC262159 LVY262159 MFU262159 MPQ262159 MZM262159 NJI262159 NTE262159 ODA262159 OMW262159 OWS262159 PGO262159 PQK262159 QAG262159 QKC262159 QTY262159 RDU262159 RNQ262159 RXM262159 SHI262159 SRE262159 TBA262159 TKW262159 TUS262159 UEO262159 UOK262159 UYG262159 VIC262159 VRY262159 WBU262159 WLQ262159 WVM262159 E327695 JA327695 SW327695 ACS327695 AMO327695 AWK327695 BGG327695 BQC327695 BZY327695 CJU327695 CTQ327695 DDM327695 DNI327695 DXE327695 EHA327695 EQW327695 FAS327695 FKO327695 FUK327695 GEG327695 GOC327695 GXY327695 HHU327695 HRQ327695 IBM327695 ILI327695 IVE327695 JFA327695 JOW327695 JYS327695 KIO327695 KSK327695 LCG327695 LMC327695 LVY327695 MFU327695 MPQ327695 MZM327695 NJI327695 NTE327695 ODA327695 OMW327695 OWS327695 PGO327695 PQK327695 QAG327695 QKC327695 QTY327695 RDU327695 RNQ327695 RXM327695 SHI327695 SRE327695 TBA327695 TKW327695 TUS327695 UEO327695 UOK327695 UYG327695 VIC327695 VRY327695 WBU327695 WLQ327695 WVM327695 E393231 JA393231 SW393231 ACS393231 AMO393231 AWK393231 BGG393231 BQC393231 BZY393231 CJU393231 CTQ393231 DDM393231 DNI393231 DXE393231 EHA393231 EQW393231 FAS393231 FKO393231 FUK393231 GEG393231 GOC393231 GXY393231 HHU393231 HRQ393231 IBM393231 ILI393231 IVE393231 JFA393231 JOW393231 JYS393231 KIO393231 KSK393231 LCG393231 LMC393231 LVY393231 MFU393231 MPQ393231 MZM393231 NJI393231 NTE393231 ODA393231 OMW393231 OWS393231 PGO393231 PQK393231 QAG393231 QKC393231 QTY393231 RDU393231 RNQ393231 RXM393231 SHI393231 SRE393231 TBA393231 TKW393231 TUS393231 UEO393231 UOK393231 UYG393231 VIC393231 VRY393231 WBU393231 WLQ393231 WVM393231 E458767 JA458767 SW458767 ACS458767 AMO458767 AWK458767 BGG458767 BQC458767 BZY458767 CJU458767 CTQ458767 DDM458767 DNI458767 DXE458767 EHA458767 EQW458767 FAS458767 FKO458767 FUK458767 GEG458767 GOC458767 GXY458767 HHU458767 HRQ458767 IBM458767 ILI458767 IVE458767 JFA458767 JOW458767 JYS458767 KIO458767 KSK458767 LCG458767 LMC458767 LVY458767 MFU458767 MPQ458767 MZM458767 NJI458767 NTE458767 ODA458767 OMW458767 OWS458767 PGO458767 PQK458767 QAG458767 QKC458767 QTY458767 RDU458767 RNQ458767 RXM458767 SHI458767 SRE458767 TBA458767 TKW458767 TUS458767 UEO458767 UOK458767 UYG458767 VIC458767 VRY458767 WBU458767 WLQ458767 WVM458767 E524303 JA524303 SW524303 ACS524303 AMO524303 AWK524303 BGG524303 BQC524303 BZY524303 CJU524303 CTQ524303 DDM524303 DNI524303 DXE524303 EHA524303 EQW524303 FAS524303 FKO524303 FUK524303 GEG524303 GOC524303 GXY524303 HHU524303 HRQ524303 IBM524303 ILI524303 IVE524303 JFA524303 JOW524303 JYS524303 KIO524303 KSK524303 LCG524303 LMC524303 LVY524303 MFU524303 MPQ524303 MZM524303 NJI524303 NTE524303 ODA524303 OMW524303 OWS524303 PGO524303 PQK524303 QAG524303 QKC524303 QTY524303 RDU524303 RNQ524303 RXM524303 SHI524303 SRE524303 TBA524303 TKW524303 TUS524303 UEO524303 UOK524303 UYG524303 VIC524303 VRY524303 WBU524303 WLQ524303 WVM524303 E589839 JA589839 SW589839 ACS589839 AMO589839 AWK589839 BGG589839 BQC589839 BZY589839 CJU589839 CTQ589839 DDM589839 DNI589839 DXE589839 EHA589839 EQW589839 FAS589839 FKO589839 FUK589839 GEG589839 GOC589839 GXY589839 HHU589839 HRQ589839 IBM589839 ILI589839 IVE589839 JFA589839 JOW589839 JYS589839 KIO589839 KSK589839 LCG589839 LMC589839 LVY589839 MFU589839 MPQ589839 MZM589839 NJI589839 NTE589839 ODA589839 OMW589839 OWS589839 PGO589839 PQK589839 QAG589839 QKC589839 QTY589839 RDU589839 RNQ589839 RXM589839 SHI589839 SRE589839 TBA589839 TKW589839 TUS589839 UEO589839 UOK589839 UYG589839 VIC589839 VRY589839 WBU589839 WLQ589839 WVM589839 E655375 JA655375 SW655375 ACS655375 AMO655375 AWK655375 BGG655375 BQC655375 BZY655375 CJU655375 CTQ655375 DDM655375 DNI655375 DXE655375 EHA655375 EQW655375 FAS655375 FKO655375 FUK655375 GEG655375 GOC655375 GXY655375 HHU655375 HRQ655375 IBM655375 ILI655375 IVE655375 JFA655375 JOW655375 JYS655375 KIO655375 KSK655375 LCG655375 LMC655375 LVY655375 MFU655375 MPQ655375 MZM655375 NJI655375 NTE655375 ODA655375 OMW655375 OWS655375 PGO655375 PQK655375 QAG655375 QKC655375 QTY655375 RDU655375 RNQ655375 RXM655375 SHI655375 SRE655375 TBA655375 TKW655375 TUS655375 UEO655375 UOK655375 UYG655375 VIC655375 VRY655375 WBU655375 WLQ655375 WVM655375 E720911 JA720911 SW720911 ACS720911 AMO720911 AWK720911 BGG720911 BQC720911 BZY720911 CJU720911 CTQ720911 DDM720911 DNI720911 DXE720911 EHA720911 EQW720911 FAS720911 FKO720911 FUK720911 GEG720911 GOC720911 GXY720911 HHU720911 HRQ720911 IBM720911 ILI720911 IVE720911 JFA720911 JOW720911 JYS720911 KIO720911 KSK720911 LCG720911 LMC720911 LVY720911 MFU720911 MPQ720911 MZM720911 NJI720911 NTE720911 ODA720911 OMW720911 OWS720911 PGO720911 PQK720911 QAG720911 QKC720911 QTY720911 RDU720911 RNQ720911 RXM720911 SHI720911 SRE720911 TBA720911 TKW720911 TUS720911 UEO720911 UOK720911 UYG720911 VIC720911 VRY720911 WBU720911 WLQ720911 WVM720911 E786447 JA786447 SW786447 ACS786447 AMO786447 AWK786447 BGG786447 BQC786447 BZY786447 CJU786447 CTQ786447 DDM786447 DNI786447 DXE786447 EHA786447 EQW786447 FAS786447 FKO786447 FUK786447 GEG786447 GOC786447 GXY786447 HHU786447 HRQ786447 IBM786447 ILI786447 IVE786447 JFA786447 JOW786447 JYS786447 KIO786447 KSK786447 LCG786447 LMC786447 LVY786447 MFU786447 MPQ786447 MZM786447 NJI786447 NTE786447 ODA786447 OMW786447 OWS786447 PGO786447 PQK786447 QAG786447 QKC786447 QTY786447 RDU786447 RNQ786447 RXM786447 SHI786447 SRE786447 TBA786447 TKW786447 TUS786447 UEO786447 UOK786447 UYG786447 VIC786447 VRY786447 WBU786447 WLQ786447 WVM786447 E851983 JA851983 SW851983 ACS851983 AMO851983 AWK851983 BGG851983 BQC851983 BZY851983 CJU851983 CTQ851983 DDM851983 DNI851983 DXE851983 EHA851983 EQW851983 FAS851983 FKO851983 FUK851983 GEG851983 GOC851983 GXY851983 HHU851983 HRQ851983 IBM851983 ILI851983 IVE851983 JFA851983 JOW851983 JYS851983 KIO851983 KSK851983 LCG851983 LMC851983 LVY851983 MFU851983 MPQ851983 MZM851983 NJI851983 NTE851983 ODA851983 OMW851983 OWS851983 PGO851983 PQK851983 QAG851983 QKC851983 QTY851983 RDU851983 RNQ851983 RXM851983 SHI851983 SRE851983 TBA851983 TKW851983 TUS851983 UEO851983 UOK851983 UYG851983 VIC851983 VRY851983 WBU851983 WLQ851983 WVM851983 E917519 JA917519 SW917519 ACS917519 AMO917519 AWK917519 BGG917519 BQC917519 BZY917519 CJU917519 CTQ917519 DDM917519 DNI917519 DXE917519 EHA917519 EQW917519 FAS917519 FKO917519 FUK917519 GEG917519 GOC917519 GXY917519 HHU917519 HRQ917519 IBM917519 ILI917519 IVE917519 JFA917519 JOW917519 JYS917519 KIO917519 KSK917519 LCG917519 LMC917519 LVY917519 MFU917519 MPQ917519 MZM917519 NJI917519 NTE917519 ODA917519 OMW917519 OWS917519 PGO917519 PQK917519 QAG917519 QKC917519 QTY917519 RDU917519 RNQ917519 RXM917519 SHI917519 SRE917519 TBA917519 TKW917519 TUS917519 UEO917519 UOK917519 UYG917519 VIC917519 VRY917519 WBU917519 WLQ917519 WVM917519 E983055 JA983055 SW983055 ACS983055 AMO983055 AWK983055 BGG983055 BQC983055 BZY983055 CJU983055 CTQ983055 DDM983055 DNI983055 DXE983055 EHA983055 EQW983055 FAS983055 FKO983055 FUK983055 GEG983055 GOC983055 GXY983055 HHU983055 HRQ983055 IBM983055 ILI983055 IVE983055 JFA983055 JOW983055 JYS983055 KIO983055 KSK983055 LCG983055 LMC983055 LVY983055 MFU983055 MPQ983055 MZM983055 NJI983055 NTE983055 ODA983055 OMW983055 OWS983055 PGO983055 PQK983055 QAG983055 QKC983055 QTY983055 RDU983055 RNQ983055 RXM983055 SHI983055 SRE983055 TBA983055 TKW983055 TUS983055 UEO983055 UOK983055 UYG983055 VIC983055 VRY983055 WBU983055 WLQ983055" xr:uid="{00000000-0002-0000-0400-000006000000}"/>
    <dataValidation type="decimal" operator="greaterThan" allowBlank="1" showInputMessage="1" showErrorMessage="1" sqref="WVM98306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E31" xr:uid="{00000000-0002-0000-0400-000008000000}">
      <formula1>0</formula1>
    </dataValidation>
    <dataValidation type="decimal" operator="greaterThanOrEqual" allowBlank="1" showInputMessage="1" showErrorMessage="1" error="Lug height, 'H', MUST BE &gt;= G+1&quot;" prompt="Lug height, 'H', MUST BE &gt;= grout thickness, 'G', plus 1&quot;." sqref="WVM98305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54 JA65554 SW65554 ACS65554 AMO65554 AWK65554 BGG65554 BQC65554 BZY65554 CJU65554 CTQ65554 DDM65554 DNI65554 DXE65554 EHA65554 EQW65554 FAS65554 FKO65554 FUK65554 GEG65554 GOC65554 GXY65554 HHU65554 HRQ65554 IBM65554 ILI65554 IVE65554 JFA65554 JOW65554 JYS65554 KIO65554 KSK65554 LCG65554 LMC65554 LVY65554 MFU65554 MPQ65554 MZM65554 NJI65554 NTE65554 ODA65554 OMW65554 OWS65554 PGO65554 PQK65554 QAG65554 QKC65554 QTY65554 RDU65554 RNQ65554 RXM65554 SHI65554 SRE65554 TBA65554 TKW65554 TUS65554 UEO65554 UOK65554 UYG65554 VIC65554 VRY65554 WBU65554 WLQ65554 WVM65554 E131090 JA131090 SW131090 ACS131090 AMO131090 AWK131090 BGG131090 BQC131090 BZY131090 CJU131090 CTQ131090 DDM131090 DNI131090 DXE131090 EHA131090 EQW131090 FAS131090 FKO131090 FUK131090 GEG131090 GOC131090 GXY131090 HHU131090 HRQ131090 IBM131090 ILI131090 IVE131090 JFA131090 JOW131090 JYS131090 KIO131090 KSK131090 LCG131090 LMC131090 LVY131090 MFU131090 MPQ131090 MZM131090 NJI131090 NTE131090 ODA131090 OMW131090 OWS131090 PGO131090 PQK131090 QAG131090 QKC131090 QTY131090 RDU131090 RNQ131090 RXM131090 SHI131090 SRE131090 TBA131090 TKW131090 TUS131090 UEO131090 UOK131090 UYG131090 VIC131090 VRY131090 WBU131090 WLQ131090 WVM131090 E196626 JA196626 SW196626 ACS196626 AMO196626 AWK196626 BGG196626 BQC196626 BZY196626 CJU196626 CTQ196626 DDM196626 DNI196626 DXE196626 EHA196626 EQW196626 FAS196626 FKO196626 FUK196626 GEG196626 GOC196626 GXY196626 HHU196626 HRQ196626 IBM196626 ILI196626 IVE196626 JFA196626 JOW196626 JYS196626 KIO196626 KSK196626 LCG196626 LMC196626 LVY196626 MFU196626 MPQ196626 MZM196626 NJI196626 NTE196626 ODA196626 OMW196626 OWS196626 PGO196626 PQK196626 QAG196626 QKC196626 QTY196626 RDU196626 RNQ196626 RXM196626 SHI196626 SRE196626 TBA196626 TKW196626 TUS196626 UEO196626 UOK196626 UYG196626 VIC196626 VRY196626 WBU196626 WLQ196626 WVM196626 E262162 JA262162 SW262162 ACS262162 AMO262162 AWK262162 BGG262162 BQC262162 BZY262162 CJU262162 CTQ262162 DDM262162 DNI262162 DXE262162 EHA262162 EQW262162 FAS262162 FKO262162 FUK262162 GEG262162 GOC262162 GXY262162 HHU262162 HRQ262162 IBM262162 ILI262162 IVE262162 JFA262162 JOW262162 JYS262162 KIO262162 KSK262162 LCG262162 LMC262162 LVY262162 MFU262162 MPQ262162 MZM262162 NJI262162 NTE262162 ODA262162 OMW262162 OWS262162 PGO262162 PQK262162 QAG262162 QKC262162 QTY262162 RDU262162 RNQ262162 RXM262162 SHI262162 SRE262162 TBA262162 TKW262162 TUS262162 UEO262162 UOK262162 UYG262162 VIC262162 VRY262162 WBU262162 WLQ262162 WVM262162 E327698 JA327698 SW327698 ACS327698 AMO327698 AWK327698 BGG327698 BQC327698 BZY327698 CJU327698 CTQ327698 DDM327698 DNI327698 DXE327698 EHA327698 EQW327698 FAS327698 FKO327698 FUK327698 GEG327698 GOC327698 GXY327698 HHU327698 HRQ327698 IBM327698 ILI327698 IVE327698 JFA327698 JOW327698 JYS327698 KIO327698 KSK327698 LCG327698 LMC327698 LVY327698 MFU327698 MPQ327698 MZM327698 NJI327698 NTE327698 ODA327698 OMW327698 OWS327698 PGO327698 PQK327698 QAG327698 QKC327698 QTY327698 RDU327698 RNQ327698 RXM327698 SHI327698 SRE327698 TBA327698 TKW327698 TUS327698 UEO327698 UOK327698 UYG327698 VIC327698 VRY327698 WBU327698 WLQ327698 WVM327698 E393234 JA393234 SW393234 ACS393234 AMO393234 AWK393234 BGG393234 BQC393234 BZY393234 CJU393234 CTQ393234 DDM393234 DNI393234 DXE393234 EHA393234 EQW393234 FAS393234 FKO393234 FUK393234 GEG393234 GOC393234 GXY393234 HHU393234 HRQ393234 IBM393234 ILI393234 IVE393234 JFA393234 JOW393234 JYS393234 KIO393234 KSK393234 LCG393234 LMC393234 LVY393234 MFU393234 MPQ393234 MZM393234 NJI393234 NTE393234 ODA393234 OMW393234 OWS393234 PGO393234 PQK393234 QAG393234 QKC393234 QTY393234 RDU393234 RNQ393234 RXM393234 SHI393234 SRE393234 TBA393234 TKW393234 TUS393234 UEO393234 UOK393234 UYG393234 VIC393234 VRY393234 WBU393234 WLQ393234 WVM393234 E458770 JA458770 SW458770 ACS458770 AMO458770 AWK458770 BGG458770 BQC458770 BZY458770 CJU458770 CTQ458770 DDM458770 DNI458770 DXE458770 EHA458770 EQW458770 FAS458770 FKO458770 FUK458770 GEG458770 GOC458770 GXY458770 HHU458770 HRQ458770 IBM458770 ILI458770 IVE458770 JFA458770 JOW458770 JYS458770 KIO458770 KSK458770 LCG458770 LMC458770 LVY458770 MFU458770 MPQ458770 MZM458770 NJI458770 NTE458770 ODA458770 OMW458770 OWS458770 PGO458770 PQK458770 QAG458770 QKC458770 QTY458770 RDU458770 RNQ458770 RXM458770 SHI458770 SRE458770 TBA458770 TKW458770 TUS458770 UEO458770 UOK458770 UYG458770 VIC458770 VRY458770 WBU458770 WLQ458770 WVM458770 E524306 JA524306 SW524306 ACS524306 AMO524306 AWK524306 BGG524306 BQC524306 BZY524306 CJU524306 CTQ524306 DDM524306 DNI524306 DXE524306 EHA524306 EQW524306 FAS524306 FKO524306 FUK524306 GEG524306 GOC524306 GXY524306 HHU524306 HRQ524306 IBM524306 ILI524306 IVE524306 JFA524306 JOW524306 JYS524306 KIO524306 KSK524306 LCG524306 LMC524306 LVY524306 MFU524306 MPQ524306 MZM524306 NJI524306 NTE524306 ODA524306 OMW524306 OWS524306 PGO524306 PQK524306 QAG524306 QKC524306 QTY524306 RDU524306 RNQ524306 RXM524306 SHI524306 SRE524306 TBA524306 TKW524306 TUS524306 UEO524306 UOK524306 UYG524306 VIC524306 VRY524306 WBU524306 WLQ524306 WVM524306 E589842 JA589842 SW589842 ACS589842 AMO589842 AWK589842 BGG589842 BQC589842 BZY589842 CJU589842 CTQ589842 DDM589842 DNI589842 DXE589842 EHA589842 EQW589842 FAS589842 FKO589842 FUK589842 GEG589842 GOC589842 GXY589842 HHU589842 HRQ589842 IBM589842 ILI589842 IVE589842 JFA589842 JOW589842 JYS589842 KIO589842 KSK589842 LCG589842 LMC589842 LVY589842 MFU589842 MPQ589842 MZM589842 NJI589842 NTE589842 ODA589842 OMW589842 OWS589842 PGO589842 PQK589842 QAG589842 QKC589842 QTY589842 RDU589842 RNQ589842 RXM589842 SHI589842 SRE589842 TBA589842 TKW589842 TUS589842 UEO589842 UOK589842 UYG589842 VIC589842 VRY589842 WBU589842 WLQ589842 WVM589842 E655378 JA655378 SW655378 ACS655378 AMO655378 AWK655378 BGG655378 BQC655378 BZY655378 CJU655378 CTQ655378 DDM655378 DNI655378 DXE655378 EHA655378 EQW655378 FAS655378 FKO655378 FUK655378 GEG655378 GOC655378 GXY655378 HHU655378 HRQ655378 IBM655378 ILI655378 IVE655378 JFA655378 JOW655378 JYS655378 KIO655378 KSK655378 LCG655378 LMC655378 LVY655378 MFU655378 MPQ655378 MZM655378 NJI655378 NTE655378 ODA655378 OMW655378 OWS655378 PGO655378 PQK655378 QAG655378 QKC655378 QTY655378 RDU655378 RNQ655378 RXM655378 SHI655378 SRE655378 TBA655378 TKW655378 TUS655378 UEO655378 UOK655378 UYG655378 VIC655378 VRY655378 WBU655378 WLQ655378 WVM655378 E720914 JA720914 SW720914 ACS720914 AMO720914 AWK720914 BGG720914 BQC720914 BZY720914 CJU720914 CTQ720914 DDM720914 DNI720914 DXE720914 EHA720914 EQW720914 FAS720914 FKO720914 FUK720914 GEG720914 GOC720914 GXY720914 HHU720914 HRQ720914 IBM720914 ILI720914 IVE720914 JFA720914 JOW720914 JYS720914 KIO720914 KSK720914 LCG720914 LMC720914 LVY720914 MFU720914 MPQ720914 MZM720914 NJI720914 NTE720914 ODA720914 OMW720914 OWS720914 PGO720914 PQK720914 QAG720914 QKC720914 QTY720914 RDU720914 RNQ720914 RXM720914 SHI720914 SRE720914 TBA720914 TKW720914 TUS720914 UEO720914 UOK720914 UYG720914 VIC720914 VRY720914 WBU720914 WLQ720914 WVM720914 E786450 JA786450 SW786450 ACS786450 AMO786450 AWK786450 BGG786450 BQC786450 BZY786450 CJU786450 CTQ786450 DDM786450 DNI786450 DXE786450 EHA786450 EQW786450 FAS786450 FKO786450 FUK786450 GEG786450 GOC786450 GXY786450 HHU786450 HRQ786450 IBM786450 ILI786450 IVE786450 JFA786450 JOW786450 JYS786450 KIO786450 KSK786450 LCG786450 LMC786450 LVY786450 MFU786450 MPQ786450 MZM786450 NJI786450 NTE786450 ODA786450 OMW786450 OWS786450 PGO786450 PQK786450 QAG786450 QKC786450 QTY786450 RDU786450 RNQ786450 RXM786450 SHI786450 SRE786450 TBA786450 TKW786450 TUS786450 UEO786450 UOK786450 UYG786450 VIC786450 VRY786450 WBU786450 WLQ786450 WVM786450 E851986 JA851986 SW851986 ACS851986 AMO851986 AWK851986 BGG851986 BQC851986 BZY851986 CJU851986 CTQ851986 DDM851986 DNI851986 DXE851986 EHA851986 EQW851986 FAS851986 FKO851986 FUK851986 GEG851986 GOC851986 GXY851986 HHU851986 HRQ851986 IBM851986 ILI851986 IVE851986 JFA851986 JOW851986 JYS851986 KIO851986 KSK851986 LCG851986 LMC851986 LVY851986 MFU851986 MPQ851986 MZM851986 NJI851986 NTE851986 ODA851986 OMW851986 OWS851986 PGO851986 PQK851986 QAG851986 QKC851986 QTY851986 RDU851986 RNQ851986 RXM851986 SHI851986 SRE851986 TBA851986 TKW851986 TUS851986 UEO851986 UOK851986 UYG851986 VIC851986 VRY851986 WBU851986 WLQ851986 WVM851986 E917522 JA917522 SW917522 ACS917522 AMO917522 AWK917522 BGG917522 BQC917522 BZY917522 CJU917522 CTQ917522 DDM917522 DNI917522 DXE917522 EHA917522 EQW917522 FAS917522 FKO917522 FUK917522 GEG917522 GOC917522 GXY917522 HHU917522 HRQ917522 IBM917522 ILI917522 IVE917522 JFA917522 JOW917522 JYS917522 KIO917522 KSK917522 LCG917522 LMC917522 LVY917522 MFU917522 MPQ917522 MZM917522 NJI917522 NTE917522 ODA917522 OMW917522 OWS917522 PGO917522 PQK917522 QAG917522 QKC917522 QTY917522 RDU917522 RNQ917522 RXM917522 SHI917522 SRE917522 TBA917522 TKW917522 TUS917522 UEO917522 UOK917522 UYG917522 VIC917522 VRY917522 WBU917522 WLQ917522 WVM917522 E983058 JA983058 SW983058 ACS983058 AMO983058 AWK983058 BGG983058 BQC983058 BZY983058 CJU983058 CTQ983058 DDM983058 DNI983058 DXE983058 EHA983058 EQW983058 FAS983058 FKO983058 FUK983058 GEG983058 GOC983058 GXY983058 HHU983058 HRQ983058 IBM983058 ILI983058 IVE983058 JFA983058 JOW983058 JYS983058 KIO983058 KSK983058 LCG983058 LMC983058 LVY983058 MFU983058 MPQ983058 MZM983058 NJI983058 NTE983058 ODA983058 OMW983058 OWS983058 PGO983058 PQK983058 QAG983058 QKC983058 QTY983058 RDU983058 RNQ983058 RXM983058 SHI983058 SRE983058 TBA983058 TKW983058 TUS983058 UEO983058 UOK983058 UYG983058 VIC983058 VRY983058 WBU983058 WLQ983058" xr:uid="{00000000-0002-0000-0400-00000B000000}">
      <formula1>E17+2*E20</formula1>
    </dataValidation>
    <dataValidation type="decimal" operator="lessThanOrEqual" allowBlank="1" showInputMessage="1" showErrorMessage="1" error="P(DL) MUST BE &lt;= 0." prompt="Note: if the user does not wish to consider friction between column base and grout to take a portion of the appled shear load (V), then input P(DL) = 0.  Considering friction will reduce the shear to be taken by lug.  Sign convention: P(DL) = -down." sqref="WVM98305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xr:uid="{00000000-0002-0000-0400-00000C000000}">
      <formula1>0</formula1>
    </dataValidation>
    <dataValidation type="whole" allowBlank="1" showInputMessage="1" showErrorMessage="1" error="4 is the min. number of anchor bolts as per 17.11.1.1.2" sqref="E34" xr:uid="{00000000-0002-0000-0400-000011000000}">
      <formula1>4</formula1>
      <formula2>100</formula2>
    </dataValidation>
    <dataValidation allowBlank="1" showInputMessage="1" showErrorMessage="1" prompt="The base plate length, 'B', is the length of the base plate parallel to the flanges (Y-axis) of the column." sqref="E24" xr:uid="{00000000-0002-0000-0400-000012000000}"/>
    <dataValidation allowBlank="1" showInputMessage="1" showErrorMessage="1" prompt="The base plate length, 'N', is the length of the base plate parallel to the web (X-axis) of the column." sqref="E23" xr:uid="{00000000-0002-0000-0400-000013000000}"/>
    <dataValidation type="list" allowBlank="1" showInputMessage="1" showErrorMessage="1" sqref="E16 E9" xr:uid="{2FF28F32-8C23-420D-9F17-9F064F62F161}">
      <formula1>"Yes,No"</formula1>
    </dataValidation>
    <dataValidation type="list" allowBlank="1" showInputMessage="1" showErrorMessage="1" prompt="The tensile strength of the weld electrode can be 413, 482, 551, 620, 688, 758, or 827 MPa. _x000a_The corresponding electrodes are specified using the nomenclature E60XX, E70XX, E80XX,  E90XX, E100XX or E110XX respectivly. " sqref="E15" xr:uid="{D1604976-D3A5-42EF-97D5-1927F2EA3DCD}">
      <formula1>"60,70,80,90,100,110"</formula1>
    </dataValidation>
    <dataValidation allowBlank="1" showInputMessage="1" showErrorMessage="1" promptTitle="Major Axis Shear, H𝘶𝘹:" prompt="Total Ultimate Factored Major Shear Force, (+ve) in the direction of the arrow." sqref="E8" xr:uid="{587DA5E2-1D47-48B9-8ECE-5379E24BC74F}"/>
    <dataValidation allowBlank="1" showInputMessage="1" showErrorMessage="1" promptTitle="Axial Load, P𝘶𝘻:" prompt="'P' is the axial load at the base of the column.  Sign convention is as follows:_x000a_  tension (uplift) load = positive (+)_x000a_  compression (downward) load = negative (-)" sqref="E7" xr:uid="{E1721E6C-83E6-456B-9C48-CA4F6E9AC92F}"/>
    <dataValidation type="list" allowBlank="1" showInputMessage="1" showErrorMessage="1" prompt="Coefficient of Friction:_x000a_  = 0.55 for base plate on top of grout bed._x000a_  = 0.70 for base plate recessed in grout._x000a_  = 0.90 for base plate embedded in concrete." sqref="E14" xr:uid="{1DB9EC50-BF3C-4389-9E62-EC6D04944FCB}">
      <formula1>"0,0.55,0.7,0.9"</formula1>
    </dataValidation>
    <dataValidation type="custom" allowBlank="1" showInputMessage="1" showErrorMessage="1" error="Lug height, 'H', MUST BE &gt;= G + 2t" prompt="Lug height, 'H', MUST BE &gt;= G + 2t" sqref="E29" xr:uid="{0EEF4E8B-A94F-4E0C-AA2D-33F552154052}">
      <formula1>E29&gt;=2*E31+E28</formula1>
    </dataValidation>
    <dataValidation type="list" allowBlank="1" showInputMessage="1" showErrorMessage="1" errorTitle="Invalid Entry" error="Please select Cast-in Anchor or Post-installed Anchor." promptTitle="Type of Anchor" sqref="E35" xr:uid="{1088E520-50F6-4A00-A3A9-F168C628E6CA}">
      <formula1>"Headed Stud,Headed Bolt, J or L Bolt"</formula1>
    </dataValidation>
    <dataValidation allowBlank="1" showInputMessage="1" showErrorMessage="1" promptTitle="Concrete Compressive Strength" prompt="&quot;f'𝔠&quot; must be in the range of 20 MPa to 70 MPa" sqref="E13" xr:uid="{8A16C8B2-924B-4296-9315-65DA73EAEAE6}"/>
    <dataValidation type="decimal" operator="greaterThanOrEqual" allowBlank="1" showInputMessage="1" showErrorMessage="1" error="Pier length, 'Lx', MUST BE &gt;= plate length, 'N'." prompt="Pier length, 'Lx', is the pier dimension parallel to the base plate length, 'N'." sqref="JA24 SW24 ACS24 AMO24 AWK24 BGG24 BQC24 BZY24 CJU24 CTQ24 DDM24 DNI24 DXE24 EHA24 EQW24 FAS24 FKO24 FUK24 GEG24 GOC24 GXY24 HHU24 HRQ24 IBM24 ILI24 IVE24 JFA24 JOW24 JYS24 KIO24 KSK24 LCG24 LMC24 LVY24 MFU24 MPQ24 MZM24 NJI24 NTE24 ODA24 OMW24 OWS24 PGO24 PQK24 QAG24 QKC24 QTY24 RDU24 RNQ24 RXM24 SHI24 SRE24 TBA24 TKW24 TUS24 UEO24 UOK24 UYG24 VIC24 VRY24 WBU24 WLQ24 WVM24 E65560 JA65560 SW65560 ACS65560 AMO65560 AWK65560 BGG65560 BQC65560 BZY65560 CJU65560 CTQ65560 DDM65560 DNI65560 DXE65560 EHA65560 EQW65560 FAS65560 FKO65560 FUK65560 GEG65560 GOC65560 GXY65560 HHU65560 HRQ65560 IBM65560 ILI65560 IVE65560 JFA65560 JOW65560 JYS65560 KIO65560 KSK65560 LCG65560 LMC65560 LVY65560 MFU65560 MPQ65560 MZM65560 NJI65560 NTE65560 ODA65560 OMW65560 OWS65560 PGO65560 PQK65560 QAG65560 QKC65560 QTY65560 RDU65560 RNQ65560 RXM65560 SHI65560 SRE65560 TBA65560 TKW65560 TUS65560 UEO65560 UOK65560 UYG65560 VIC65560 VRY65560 WBU65560 WLQ65560 WVM65560 E131096 JA131096 SW131096 ACS131096 AMO131096 AWK131096 BGG131096 BQC131096 BZY131096 CJU131096 CTQ131096 DDM131096 DNI131096 DXE131096 EHA131096 EQW131096 FAS131096 FKO131096 FUK131096 GEG131096 GOC131096 GXY131096 HHU131096 HRQ131096 IBM131096 ILI131096 IVE131096 JFA131096 JOW131096 JYS131096 KIO131096 KSK131096 LCG131096 LMC131096 LVY131096 MFU131096 MPQ131096 MZM131096 NJI131096 NTE131096 ODA131096 OMW131096 OWS131096 PGO131096 PQK131096 QAG131096 QKC131096 QTY131096 RDU131096 RNQ131096 RXM131096 SHI131096 SRE131096 TBA131096 TKW131096 TUS131096 UEO131096 UOK131096 UYG131096 VIC131096 VRY131096 WBU131096 WLQ131096 WVM131096 E196632 JA196632 SW196632 ACS196632 AMO196632 AWK196632 BGG196632 BQC196632 BZY196632 CJU196632 CTQ196632 DDM196632 DNI196632 DXE196632 EHA196632 EQW196632 FAS196632 FKO196632 FUK196632 GEG196632 GOC196632 GXY196632 HHU196632 HRQ196632 IBM196632 ILI196632 IVE196632 JFA196632 JOW196632 JYS196632 KIO196632 KSK196632 LCG196632 LMC196632 LVY196632 MFU196632 MPQ196632 MZM196632 NJI196632 NTE196632 ODA196632 OMW196632 OWS196632 PGO196632 PQK196632 QAG196632 QKC196632 QTY196632 RDU196632 RNQ196632 RXM196632 SHI196632 SRE196632 TBA196632 TKW196632 TUS196632 UEO196632 UOK196632 UYG196632 VIC196632 VRY196632 WBU196632 WLQ196632 WVM196632 E262168 JA262168 SW262168 ACS262168 AMO262168 AWK262168 BGG262168 BQC262168 BZY262168 CJU262168 CTQ262168 DDM262168 DNI262168 DXE262168 EHA262168 EQW262168 FAS262168 FKO262168 FUK262168 GEG262168 GOC262168 GXY262168 HHU262168 HRQ262168 IBM262168 ILI262168 IVE262168 JFA262168 JOW262168 JYS262168 KIO262168 KSK262168 LCG262168 LMC262168 LVY262168 MFU262168 MPQ262168 MZM262168 NJI262168 NTE262168 ODA262168 OMW262168 OWS262168 PGO262168 PQK262168 QAG262168 QKC262168 QTY262168 RDU262168 RNQ262168 RXM262168 SHI262168 SRE262168 TBA262168 TKW262168 TUS262168 UEO262168 UOK262168 UYG262168 VIC262168 VRY262168 WBU262168 WLQ262168 WVM262168 E327704 JA327704 SW327704 ACS327704 AMO327704 AWK327704 BGG327704 BQC327704 BZY327704 CJU327704 CTQ327704 DDM327704 DNI327704 DXE327704 EHA327704 EQW327704 FAS327704 FKO327704 FUK327704 GEG327704 GOC327704 GXY327704 HHU327704 HRQ327704 IBM327704 ILI327704 IVE327704 JFA327704 JOW327704 JYS327704 KIO327704 KSK327704 LCG327704 LMC327704 LVY327704 MFU327704 MPQ327704 MZM327704 NJI327704 NTE327704 ODA327704 OMW327704 OWS327704 PGO327704 PQK327704 QAG327704 QKC327704 QTY327704 RDU327704 RNQ327704 RXM327704 SHI327704 SRE327704 TBA327704 TKW327704 TUS327704 UEO327704 UOK327704 UYG327704 VIC327704 VRY327704 WBU327704 WLQ327704 WVM327704 E393240 JA393240 SW393240 ACS393240 AMO393240 AWK393240 BGG393240 BQC393240 BZY393240 CJU393240 CTQ393240 DDM393240 DNI393240 DXE393240 EHA393240 EQW393240 FAS393240 FKO393240 FUK393240 GEG393240 GOC393240 GXY393240 HHU393240 HRQ393240 IBM393240 ILI393240 IVE393240 JFA393240 JOW393240 JYS393240 KIO393240 KSK393240 LCG393240 LMC393240 LVY393240 MFU393240 MPQ393240 MZM393240 NJI393240 NTE393240 ODA393240 OMW393240 OWS393240 PGO393240 PQK393240 QAG393240 QKC393240 QTY393240 RDU393240 RNQ393240 RXM393240 SHI393240 SRE393240 TBA393240 TKW393240 TUS393240 UEO393240 UOK393240 UYG393240 VIC393240 VRY393240 WBU393240 WLQ393240 WVM393240 E458776 JA458776 SW458776 ACS458776 AMO458776 AWK458776 BGG458776 BQC458776 BZY458776 CJU458776 CTQ458776 DDM458776 DNI458776 DXE458776 EHA458776 EQW458776 FAS458776 FKO458776 FUK458776 GEG458776 GOC458776 GXY458776 HHU458776 HRQ458776 IBM458776 ILI458776 IVE458776 JFA458776 JOW458776 JYS458776 KIO458776 KSK458776 LCG458776 LMC458776 LVY458776 MFU458776 MPQ458776 MZM458776 NJI458776 NTE458776 ODA458776 OMW458776 OWS458776 PGO458776 PQK458776 QAG458776 QKC458776 QTY458776 RDU458776 RNQ458776 RXM458776 SHI458776 SRE458776 TBA458776 TKW458776 TUS458776 UEO458776 UOK458776 UYG458776 VIC458776 VRY458776 WBU458776 WLQ458776 WVM458776 E524312 JA524312 SW524312 ACS524312 AMO524312 AWK524312 BGG524312 BQC524312 BZY524312 CJU524312 CTQ524312 DDM524312 DNI524312 DXE524312 EHA524312 EQW524312 FAS524312 FKO524312 FUK524312 GEG524312 GOC524312 GXY524312 HHU524312 HRQ524312 IBM524312 ILI524312 IVE524312 JFA524312 JOW524312 JYS524312 KIO524312 KSK524312 LCG524312 LMC524312 LVY524312 MFU524312 MPQ524312 MZM524312 NJI524312 NTE524312 ODA524312 OMW524312 OWS524312 PGO524312 PQK524312 QAG524312 QKC524312 QTY524312 RDU524312 RNQ524312 RXM524312 SHI524312 SRE524312 TBA524312 TKW524312 TUS524312 UEO524312 UOK524312 UYG524312 VIC524312 VRY524312 WBU524312 WLQ524312 WVM524312 E589848 JA589848 SW589848 ACS589848 AMO589848 AWK589848 BGG589848 BQC589848 BZY589848 CJU589848 CTQ589848 DDM589848 DNI589848 DXE589848 EHA589848 EQW589848 FAS589848 FKO589848 FUK589848 GEG589848 GOC589848 GXY589848 HHU589848 HRQ589848 IBM589848 ILI589848 IVE589848 JFA589848 JOW589848 JYS589848 KIO589848 KSK589848 LCG589848 LMC589848 LVY589848 MFU589848 MPQ589848 MZM589848 NJI589848 NTE589848 ODA589848 OMW589848 OWS589848 PGO589848 PQK589848 QAG589848 QKC589848 QTY589848 RDU589848 RNQ589848 RXM589848 SHI589848 SRE589848 TBA589848 TKW589848 TUS589848 UEO589848 UOK589848 UYG589848 VIC589848 VRY589848 WBU589848 WLQ589848 WVM589848 E655384 JA655384 SW655384 ACS655384 AMO655384 AWK655384 BGG655384 BQC655384 BZY655384 CJU655384 CTQ655384 DDM655384 DNI655384 DXE655384 EHA655384 EQW655384 FAS655384 FKO655384 FUK655384 GEG655384 GOC655384 GXY655384 HHU655384 HRQ655384 IBM655384 ILI655384 IVE655384 JFA655384 JOW655384 JYS655384 KIO655384 KSK655384 LCG655384 LMC655384 LVY655384 MFU655384 MPQ655384 MZM655384 NJI655384 NTE655384 ODA655384 OMW655384 OWS655384 PGO655384 PQK655384 QAG655384 QKC655384 QTY655384 RDU655384 RNQ655384 RXM655384 SHI655384 SRE655384 TBA655384 TKW655384 TUS655384 UEO655384 UOK655384 UYG655384 VIC655384 VRY655384 WBU655384 WLQ655384 WVM655384 E720920 JA720920 SW720920 ACS720920 AMO720920 AWK720920 BGG720920 BQC720920 BZY720920 CJU720920 CTQ720920 DDM720920 DNI720920 DXE720920 EHA720920 EQW720920 FAS720920 FKO720920 FUK720920 GEG720920 GOC720920 GXY720920 HHU720920 HRQ720920 IBM720920 ILI720920 IVE720920 JFA720920 JOW720920 JYS720920 KIO720920 KSK720920 LCG720920 LMC720920 LVY720920 MFU720920 MPQ720920 MZM720920 NJI720920 NTE720920 ODA720920 OMW720920 OWS720920 PGO720920 PQK720920 QAG720920 QKC720920 QTY720920 RDU720920 RNQ720920 RXM720920 SHI720920 SRE720920 TBA720920 TKW720920 TUS720920 UEO720920 UOK720920 UYG720920 VIC720920 VRY720920 WBU720920 WLQ720920 WVM720920 E786456 JA786456 SW786456 ACS786456 AMO786456 AWK786456 BGG786456 BQC786456 BZY786456 CJU786456 CTQ786456 DDM786456 DNI786456 DXE786456 EHA786456 EQW786456 FAS786456 FKO786456 FUK786456 GEG786456 GOC786456 GXY786456 HHU786456 HRQ786456 IBM786456 ILI786456 IVE786456 JFA786456 JOW786456 JYS786456 KIO786456 KSK786456 LCG786456 LMC786456 LVY786456 MFU786456 MPQ786456 MZM786456 NJI786456 NTE786456 ODA786456 OMW786456 OWS786456 PGO786456 PQK786456 QAG786456 QKC786456 QTY786456 RDU786456 RNQ786456 RXM786456 SHI786456 SRE786456 TBA786456 TKW786456 TUS786456 UEO786456 UOK786456 UYG786456 VIC786456 VRY786456 WBU786456 WLQ786456 WVM786456 E851992 JA851992 SW851992 ACS851992 AMO851992 AWK851992 BGG851992 BQC851992 BZY851992 CJU851992 CTQ851992 DDM851992 DNI851992 DXE851992 EHA851992 EQW851992 FAS851992 FKO851992 FUK851992 GEG851992 GOC851992 GXY851992 HHU851992 HRQ851992 IBM851992 ILI851992 IVE851992 JFA851992 JOW851992 JYS851992 KIO851992 KSK851992 LCG851992 LMC851992 LVY851992 MFU851992 MPQ851992 MZM851992 NJI851992 NTE851992 ODA851992 OMW851992 OWS851992 PGO851992 PQK851992 QAG851992 QKC851992 QTY851992 RDU851992 RNQ851992 RXM851992 SHI851992 SRE851992 TBA851992 TKW851992 TUS851992 UEO851992 UOK851992 UYG851992 VIC851992 VRY851992 WBU851992 WLQ851992 WVM851992 E917528 JA917528 SW917528 ACS917528 AMO917528 AWK917528 BGG917528 BQC917528 BZY917528 CJU917528 CTQ917528 DDM917528 DNI917528 DXE917528 EHA917528 EQW917528 FAS917528 FKO917528 FUK917528 GEG917528 GOC917528 GXY917528 HHU917528 HRQ917528 IBM917528 ILI917528 IVE917528 JFA917528 JOW917528 JYS917528 KIO917528 KSK917528 LCG917528 LMC917528 LVY917528 MFU917528 MPQ917528 MZM917528 NJI917528 NTE917528 ODA917528 OMW917528 OWS917528 PGO917528 PQK917528 QAG917528 QKC917528 QTY917528 RDU917528 RNQ917528 RXM917528 SHI917528 SRE917528 TBA917528 TKW917528 TUS917528 UEO917528 UOK917528 UYG917528 VIC917528 VRY917528 WBU917528 WLQ917528 WVM917528 E983064 JA983064 SW983064 ACS983064 AMO983064 AWK983064 BGG983064 BQC983064 BZY983064 CJU983064 CTQ983064 DDM983064 DNI983064 DXE983064 EHA983064 EQW983064 FAS983064 FKO983064 FUK983064 GEG983064 GOC983064 GXY983064 HHU983064 HRQ983064 IBM983064 ILI983064 IVE983064 JFA983064 JOW983064 JYS983064 KIO983064 KSK983064 LCG983064 LMC983064 LVY983064 MFU983064 MPQ983064 MZM983064 NJI983064 NTE983064 ODA983064 OMW983064 OWS983064 PGO983064 PQK983064 QAG983064 QKC983064 QTY983064 RDU983064 RNQ983064 RXM983064 SHI983064 SRE983064 TBA983064 TKW983064 TUS983064 UEO983064 UOK983064 UYG983064 VIC983064 VRY983064 WBU983064 WLQ983064 WVM983064" xr:uid="{00000000-0002-0000-0400-000009000000}">
      <formula1>$E$23</formula1>
    </dataValidation>
    <dataValidation type="decimal" operator="greaterThanOrEqual" allowBlank="1" showInputMessage="1" showErrorMessage="1" error="Pier length, 'Ly', MUST BE &gt;= plate width, 'B'." prompt="Pier width, 'Ly', is the pier dimension parallel to the base plate width, 'B'." sqref="JA25 SW25 ACS25 AMO25 AWK25 BGG25 BQC25 BZY25 CJU25 CTQ25 DDM25 DNI25 DXE25 EHA25 EQW25 FAS25 FKO25 FUK25 GEG25 GOC25 GXY25 HHU25 HRQ25 IBM25 ILI25 IVE25 JFA25 JOW25 JYS25 KIO25 KSK25 LCG25 LMC25 LVY25 MFU25 MPQ25 MZM25 NJI25 NTE25 ODA25 OMW25 OWS25 PGO25 PQK25 QAG25 QKC25 QTY25 RDU25 RNQ25 RXM25 SHI25 SRE25 TBA25 TKW25 TUS25 UEO25 UOK25 UYG25 VIC25 VRY25 WBU25 WLQ25 WVM25 E65561 JA65561 SW65561 ACS65561 AMO65561 AWK65561 BGG65561 BQC65561 BZY65561 CJU65561 CTQ65561 DDM65561 DNI65561 DXE65561 EHA65561 EQW65561 FAS65561 FKO65561 FUK65561 GEG65561 GOC65561 GXY65561 HHU65561 HRQ65561 IBM65561 ILI65561 IVE65561 JFA65561 JOW65561 JYS65561 KIO65561 KSK65561 LCG65561 LMC65561 LVY65561 MFU65561 MPQ65561 MZM65561 NJI65561 NTE65561 ODA65561 OMW65561 OWS65561 PGO65561 PQK65561 QAG65561 QKC65561 QTY65561 RDU65561 RNQ65561 RXM65561 SHI65561 SRE65561 TBA65561 TKW65561 TUS65561 UEO65561 UOK65561 UYG65561 VIC65561 VRY65561 WBU65561 WLQ65561 WVM65561 E131097 JA131097 SW131097 ACS131097 AMO131097 AWK131097 BGG131097 BQC131097 BZY131097 CJU131097 CTQ131097 DDM131097 DNI131097 DXE131097 EHA131097 EQW131097 FAS131097 FKO131097 FUK131097 GEG131097 GOC131097 GXY131097 HHU131097 HRQ131097 IBM131097 ILI131097 IVE131097 JFA131097 JOW131097 JYS131097 KIO131097 KSK131097 LCG131097 LMC131097 LVY131097 MFU131097 MPQ131097 MZM131097 NJI131097 NTE131097 ODA131097 OMW131097 OWS131097 PGO131097 PQK131097 QAG131097 QKC131097 QTY131097 RDU131097 RNQ131097 RXM131097 SHI131097 SRE131097 TBA131097 TKW131097 TUS131097 UEO131097 UOK131097 UYG131097 VIC131097 VRY131097 WBU131097 WLQ131097 WVM131097 E196633 JA196633 SW196633 ACS196633 AMO196633 AWK196633 BGG196633 BQC196633 BZY196633 CJU196633 CTQ196633 DDM196633 DNI196633 DXE196633 EHA196633 EQW196633 FAS196633 FKO196633 FUK196633 GEG196633 GOC196633 GXY196633 HHU196633 HRQ196633 IBM196633 ILI196633 IVE196633 JFA196633 JOW196633 JYS196633 KIO196633 KSK196633 LCG196633 LMC196633 LVY196633 MFU196633 MPQ196633 MZM196633 NJI196633 NTE196633 ODA196633 OMW196633 OWS196633 PGO196633 PQK196633 QAG196633 QKC196633 QTY196633 RDU196633 RNQ196633 RXM196633 SHI196633 SRE196633 TBA196633 TKW196633 TUS196633 UEO196633 UOK196633 UYG196633 VIC196633 VRY196633 WBU196633 WLQ196633 WVM196633 E262169 JA262169 SW262169 ACS262169 AMO262169 AWK262169 BGG262169 BQC262169 BZY262169 CJU262169 CTQ262169 DDM262169 DNI262169 DXE262169 EHA262169 EQW262169 FAS262169 FKO262169 FUK262169 GEG262169 GOC262169 GXY262169 HHU262169 HRQ262169 IBM262169 ILI262169 IVE262169 JFA262169 JOW262169 JYS262169 KIO262169 KSK262169 LCG262169 LMC262169 LVY262169 MFU262169 MPQ262169 MZM262169 NJI262169 NTE262169 ODA262169 OMW262169 OWS262169 PGO262169 PQK262169 QAG262169 QKC262169 QTY262169 RDU262169 RNQ262169 RXM262169 SHI262169 SRE262169 TBA262169 TKW262169 TUS262169 UEO262169 UOK262169 UYG262169 VIC262169 VRY262169 WBU262169 WLQ262169 WVM262169 E327705 JA327705 SW327705 ACS327705 AMO327705 AWK327705 BGG327705 BQC327705 BZY327705 CJU327705 CTQ327705 DDM327705 DNI327705 DXE327705 EHA327705 EQW327705 FAS327705 FKO327705 FUK327705 GEG327705 GOC327705 GXY327705 HHU327705 HRQ327705 IBM327705 ILI327705 IVE327705 JFA327705 JOW327705 JYS327705 KIO327705 KSK327705 LCG327705 LMC327705 LVY327705 MFU327705 MPQ327705 MZM327705 NJI327705 NTE327705 ODA327705 OMW327705 OWS327705 PGO327705 PQK327705 QAG327705 QKC327705 QTY327705 RDU327705 RNQ327705 RXM327705 SHI327705 SRE327705 TBA327705 TKW327705 TUS327705 UEO327705 UOK327705 UYG327705 VIC327705 VRY327705 WBU327705 WLQ327705 WVM327705 E393241 JA393241 SW393241 ACS393241 AMO393241 AWK393241 BGG393241 BQC393241 BZY393241 CJU393241 CTQ393241 DDM393241 DNI393241 DXE393241 EHA393241 EQW393241 FAS393241 FKO393241 FUK393241 GEG393241 GOC393241 GXY393241 HHU393241 HRQ393241 IBM393241 ILI393241 IVE393241 JFA393241 JOW393241 JYS393241 KIO393241 KSK393241 LCG393241 LMC393241 LVY393241 MFU393241 MPQ393241 MZM393241 NJI393241 NTE393241 ODA393241 OMW393241 OWS393241 PGO393241 PQK393241 QAG393241 QKC393241 QTY393241 RDU393241 RNQ393241 RXM393241 SHI393241 SRE393241 TBA393241 TKW393241 TUS393241 UEO393241 UOK393241 UYG393241 VIC393241 VRY393241 WBU393241 WLQ393241 WVM393241 E458777 JA458777 SW458777 ACS458777 AMO458777 AWK458777 BGG458777 BQC458777 BZY458777 CJU458777 CTQ458777 DDM458777 DNI458777 DXE458777 EHA458777 EQW458777 FAS458777 FKO458777 FUK458777 GEG458777 GOC458777 GXY458777 HHU458777 HRQ458777 IBM458777 ILI458777 IVE458777 JFA458777 JOW458777 JYS458777 KIO458777 KSK458777 LCG458777 LMC458777 LVY458777 MFU458777 MPQ458777 MZM458777 NJI458777 NTE458777 ODA458777 OMW458777 OWS458777 PGO458777 PQK458777 QAG458777 QKC458777 QTY458777 RDU458777 RNQ458777 RXM458777 SHI458777 SRE458777 TBA458777 TKW458777 TUS458777 UEO458777 UOK458777 UYG458777 VIC458777 VRY458777 WBU458777 WLQ458777 WVM458777 E524313 JA524313 SW524313 ACS524313 AMO524313 AWK524313 BGG524313 BQC524313 BZY524313 CJU524313 CTQ524313 DDM524313 DNI524313 DXE524313 EHA524313 EQW524313 FAS524313 FKO524313 FUK524313 GEG524313 GOC524313 GXY524313 HHU524313 HRQ524313 IBM524313 ILI524313 IVE524313 JFA524313 JOW524313 JYS524313 KIO524313 KSK524313 LCG524313 LMC524313 LVY524313 MFU524313 MPQ524313 MZM524313 NJI524313 NTE524313 ODA524313 OMW524313 OWS524313 PGO524313 PQK524313 QAG524313 QKC524313 QTY524313 RDU524313 RNQ524313 RXM524313 SHI524313 SRE524313 TBA524313 TKW524313 TUS524313 UEO524313 UOK524313 UYG524313 VIC524313 VRY524313 WBU524313 WLQ524313 WVM524313 E589849 JA589849 SW589849 ACS589849 AMO589849 AWK589849 BGG589849 BQC589849 BZY589849 CJU589849 CTQ589849 DDM589849 DNI589849 DXE589849 EHA589849 EQW589849 FAS589849 FKO589849 FUK589849 GEG589849 GOC589849 GXY589849 HHU589849 HRQ589849 IBM589849 ILI589849 IVE589849 JFA589849 JOW589849 JYS589849 KIO589849 KSK589849 LCG589849 LMC589849 LVY589849 MFU589849 MPQ589849 MZM589849 NJI589849 NTE589849 ODA589849 OMW589849 OWS589849 PGO589849 PQK589849 QAG589849 QKC589849 QTY589849 RDU589849 RNQ589849 RXM589849 SHI589849 SRE589849 TBA589849 TKW589849 TUS589849 UEO589849 UOK589849 UYG589849 VIC589849 VRY589849 WBU589849 WLQ589849 WVM589849 E655385 JA655385 SW655385 ACS655385 AMO655385 AWK655385 BGG655385 BQC655385 BZY655385 CJU655385 CTQ655385 DDM655385 DNI655385 DXE655385 EHA655385 EQW655385 FAS655385 FKO655385 FUK655385 GEG655385 GOC655385 GXY655385 HHU655385 HRQ655385 IBM655385 ILI655385 IVE655385 JFA655385 JOW655385 JYS655385 KIO655385 KSK655385 LCG655385 LMC655385 LVY655385 MFU655385 MPQ655385 MZM655385 NJI655385 NTE655385 ODA655385 OMW655385 OWS655385 PGO655385 PQK655385 QAG655385 QKC655385 QTY655385 RDU655385 RNQ655385 RXM655385 SHI655385 SRE655385 TBA655385 TKW655385 TUS655385 UEO655385 UOK655385 UYG655385 VIC655385 VRY655385 WBU655385 WLQ655385 WVM655385 E720921 JA720921 SW720921 ACS720921 AMO720921 AWK720921 BGG720921 BQC720921 BZY720921 CJU720921 CTQ720921 DDM720921 DNI720921 DXE720921 EHA720921 EQW720921 FAS720921 FKO720921 FUK720921 GEG720921 GOC720921 GXY720921 HHU720921 HRQ720921 IBM720921 ILI720921 IVE720921 JFA720921 JOW720921 JYS720921 KIO720921 KSK720921 LCG720921 LMC720921 LVY720921 MFU720921 MPQ720921 MZM720921 NJI720921 NTE720921 ODA720921 OMW720921 OWS720921 PGO720921 PQK720921 QAG720921 QKC720921 QTY720921 RDU720921 RNQ720921 RXM720921 SHI720921 SRE720921 TBA720921 TKW720921 TUS720921 UEO720921 UOK720921 UYG720921 VIC720921 VRY720921 WBU720921 WLQ720921 WVM720921 E786457 JA786457 SW786457 ACS786457 AMO786457 AWK786457 BGG786457 BQC786457 BZY786457 CJU786457 CTQ786457 DDM786457 DNI786457 DXE786457 EHA786457 EQW786457 FAS786457 FKO786457 FUK786457 GEG786457 GOC786457 GXY786457 HHU786457 HRQ786457 IBM786457 ILI786457 IVE786457 JFA786457 JOW786457 JYS786457 KIO786457 KSK786457 LCG786457 LMC786457 LVY786457 MFU786457 MPQ786457 MZM786457 NJI786457 NTE786457 ODA786457 OMW786457 OWS786457 PGO786457 PQK786457 QAG786457 QKC786457 QTY786457 RDU786457 RNQ786457 RXM786457 SHI786457 SRE786457 TBA786457 TKW786457 TUS786457 UEO786457 UOK786457 UYG786457 VIC786457 VRY786457 WBU786457 WLQ786457 WVM786457 E851993 JA851993 SW851993 ACS851993 AMO851993 AWK851993 BGG851993 BQC851993 BZY851993 CJU851993 CTQ851993 DDM851993 DNI851993 DXE851993 EHA851993 EQW851993 FAS851993 FKO851993 FUK851993 GEG851993 GOC851993 GXY851993 HHU851993 HRQ851993 IBM851993 ILI851993 IVE851993 JFA851993 JOW851993 JYS851993 KIO851993 KSK851993 LCG851993 LMC851993 LVY851993 MFU851993 MPQ851993 MZM851993 NJI851993 NTE851993 ODA851993 OMW851993 OWS851993 PGO851993 PQK851993 QAG851993 QKC851993 QTY851993 RDU851993 RNQ851993 RXM851993 SHI851993 SRE851993 TBA851993 TKW851993 TUS851993 UEO851993 UOK851993 UYG851993 VIC851993 VRY851993 WBU851993 WLQ851993 WVM851993 E917529 JA917529 SW917529 ACS917529 AMO917529 AWK917529 BGG917529 BQC917529 BZY917529 CJU917529 CTQ917529 DDM917529 DNI917529 DXE917529 EHA917529 EQW917529 FAS917529 FKO917529 FUK917529 GEG917529 GOC917529 GXY917529 HHU917529 HRQ917529 IBM917529 ILI917529 IVE917529 JFA917529 JOW917529 JYS917529 KIO917529 KSK917529 LCG917529 LMC917529 LVY917529 MFU917529 MPQ917529 MZM917529 NJI917529 NTE917529 ODA917529 OMW917529 OWS917529 PGO917529 PQK917529 QAG917529 QKC917529 QTY917529 RDU917529 RNQ917529 RXM917529 SHI917529 SRE917529 TBA917529 TKW917529 TUS917529 UEO917529 UOK917529 UYG917529 VIC917529 VRY917529 WBU917529 WLQ917529 WVM917529 E983065 JA983065 SW983065 ACS983065 AMO983065 AWK983065 BGG983065 BQC983065 BZY983065 CJU983065 CTQ983065 DDM983065 DNI983065 DXE983065 EHA983065 EQW983065 FAS983065 FKO983065 FUK983065 GEG983065 GOC983065 GXY983065 HHU983065 HRQ983065 IBM983065 ILI983065 IVE983065 JFA983065 JOW983065 JYS983065 KIO983065 KSK983065 LCG983065 LMC983065 LVY983065 MFU983065 MPQ983065 MZM983065 NJI983065 NTE983065 ODA983065 OMW983065 OWS983065 PGO983065 PQK983065 QAG983065 QKC983065 QTY983065 RDU983065 RNQ983065 RXM983065 SHI983065 SRE983065 TBA983065 TKW983065 TUS983065 UEO983065 UOK983065 UYG983065 VIC983065 VRY983065 WBU983065 WLQ983065 WVM983065" xr:uid="{00000000-0002-0000-0400-00000A000000}">
      <formula1>$E$24</formula1>
    </dataValidation>
    <dataValidation type="decimal" allowBlank="1" showInputMessage="1" showErrorMessage="1" error="Lug width, 'W', MUST BE &lt;= Plate width, 'B'" prompt="Lug width, 'W', MUST BE &lt;= base plate width, 'B'." sqref="E30" xr:uid="{CC9FFF6A-B7FD-45C8-B7BA-C704725EEE69}">
      <formula1>1</formula1>
      <formula2>#REF!</formula2>
    </dataValidation>
    <dataValidation type="decimal" allowBlank="1" showInputMessage="1" showErrorMessage="1" error="Lug width, 'W', MUST BE &lt;= Plate width, 'B'" prompt="Lug width, 'W', MUST BE &lt;= base plate width, 'B'." sqref="WVM983059 JA19 SW19 ACS19 AMO19 AWK19 BGG19 BQC19 BZY19 CJU19 CTQ19 DDM19 DNI19 DXE19 EHA19 EQW19 FAS19 FKO19 FUK19 GEG19 GOC19 GXY19 HHU19 HRQ19 IBM19 ILI19 IVE19 JFA19 JOW19 JYS19 KIO19 KSK19 LCG19 LMC19 LVY19 MFU19 MPQ19 MZM19 NJI19 NTE19 ODA19 OMW19 OWS19 PGO19 PQK19 QAG19 QKC19 QTY19 RDU19 RNQ19 RXM19 SHI19 SRE19 TBA19 TKW19 TUS19 UEO19 UOK19 UYG19 VIC19 VRY19 WBU19 WLQ19 WVM19 E65555 JA65555 SW65555 ACS65555 AMO65555 AWK65555 BGG65555 BQC65555 BZY65555 CJU65555 CTQ65555 DDM65555 DNI65555 DXE65555 EHA65555 EQW65555 FAS65555 FKO65555 FUK65555 GEG65555 GOC65555 GXY65555 HHU65555 HRQ65555 IBM65555 ILI65555 IVE65555 JFA65555 JOW65555 JYS65555 KIO65555 KSK65555 LCG65555 LMC65555 LVY65555 MFU65555 MPQ65555 MZM65555 NJI65555 NTE65555 ODA65555 OMW65555 OWS65555 PGO65555 PQK65555 QAG65555 QKC65555 QTY65555 RDU65555 RNQ65555 RXM65555 SHI65555 SRE65555 TBA65555 TKW65555 TUS65555 UEO65555 UOK65555 UYG65555 VIC65555 VRY65555 WBU65555 WLQ65555 WVM65555 E131091 JA131091 SW131091 ACS131091 AMO131091 AWK131091 BGG131091 BQC131091 BZY131091 CJU131091 CTQ131091 DDM131091 DNI131091 DXE131091 EHA131091 EQW131091 FAS131091 FKO131091 FUK131091 GEG131091 GOC131091 GXY131091 HHU131091 HRQ131091 IBM131091 ILI131091 IVE131091 JFA131091 JOW131091 JYS131091 KIO131091 KSK131091 LCG131091 LMC131091 LVY131091 MFU131091 MPQ131091 MZM131091 NJI131091 NTE131091 ODA131091 OMW131091 OWS131091 PGO131091 PQK131091 QAG131091 QKC131091 QTY131091 RDU131091 RNQ131091 RXM131091 SHI131091 SRE131091 TBA131091 TKW131091 TUS131091 UEO131091 UOK131091 UYG131091 VIC131091 VRY131091 WBU131091 WLQ131091 WVM131091 E196627 JA196627 SW196627 ACS196627 AMO196627 AWK196627 BGG196627 BQC196627 BZY196627 CJU196627 CTQ196627 DDM196627 DNI196627 DXE196627 EHA196627 EQW196627 FAS196627 FKO196627 FUK196627 GEG196627 GOC196627 GXY196627 HHU196627 HRQ196627 IBM196627 ILI196627 IVE196627 JFA196627 JOW196627 JYS196627 KIO196627 KSK196627 LCG196627 LMC196627 LVY196627 MFU196627 MPQ196627 MZM196627 NJI196627 NTE196627 ODA196627 OMW196627 OWS196627 PGO196627 PQK196627 QAG196627 QKC196627 QTY196627 RDU196627 RNQ196627 RXM196627 SHI196627 SRE196627 TBA196627 TKW196627 TUS196627 UEO196627 UOK196627 UYG196627 VIC196627 VRY196627 WBU196627 WLQ196627 WVM196627 E262163 JA262163 SW262163 ACS262163 AMO262163 AWK262163 BGG262163 BQC262163 BZY262163 CJU262163 CTQ262163 DDM262163 DNI262163 DXE262163 EHA262163 EQW262163 FAS262163 FKO262163 FUK262163 GEG262163 GOC262163 GXY262163 HHU262163 HRQ262163 IBM262163 ILI262163 IVE262163 JFA262163 JOW262163 JYS262163 KIO262163 KSK262163 LCG262163 LMC262163 LVY262163 MFU262163 MPQ262163 MZM262163 NJI262163 NTE262163 ODA262163 OMW262163 OWS262163 PGO262163 PQK262163 QAG262163 QKC262163 QTY262163 RDU262163 RNQ262163 RXM262163 SHI262163 SRE262163 TBA262163 TKW262163 TUS262163 UEO262163 UOK262163 UYG262163 VIC262163 VRY262163 WBU262163 WLQ262163 WVM262163 E327699 JA327699 SW327699 ACS327699 AMO327699 AWK327699 BGG327699 BQC327699 BZY327699 CJU327699 CTQ327699 DDM327699 DNI327699 DXE327699 EHA327699 EQW327699 FAS327699 FKO327699 FUK327699 GEG327699 GOC327699 GXY327699 HHU327699 HRQ327699 IBM327699 ILI327699 IVE327699 JFA327699 JOW327699 JYS327699 KIO327699 KSK327699 LCG327699 LMC327699 LVY327699 MFU327699 MPQ327699 MZM327699 NJI327699 NTE327699 ODA327699 OMW327699 OWS327699 PGO327699 PQK327699 QAG327699 QKC327699 QTY327699 RDU327699 RNQ327699 RXM327699 SHI327699 SRE327699 TBA327699 TKW327699 TUS327699 UEO327699 UOK327699 UYG327699 VIC327699 VRY327699 WBU327699 WLQ327699 WVM327699 E393235 JA393235 SW393235 ACS393235 AMO393235 AWK393235 BGG393235 BQC393235 BZY393235 CJU393235 CTQ393235 DDM393235 DNI393235 DXE393235 EHA393235 EQW393235 FAS393235 FKO393235 FUK393235 GEG393235 GOC393235 GXY393235 HHU393235 HRQ393235 IBM393235 ILI393235 IVE393235 JFA393235 JOW393235 JYS393235 KIO393235 KSK393235 LCG393235 LMC393235 LVY393235 MFU393235 MPQ393235 MZM393235 NJI393235 NTE393235 ODA393235 OMW393235 OWS393235 PGO393235 PQK393235 QAG393235 QKC393235 QTY393235 RDU393235 RNQ393235 RXM393235 SHI393235 SRE393235 TBA393235 TKW393235 TUS393235 UEO393235 UOK393235 UYG393235 VIC393235 VRY393235 WBU393235 WLQ393235 WVM393235 E458771 JA458771 SW458771 ACS458771 AMO458771 AWK458771 BGG458771 BQC458771 BZY458771 CJU458771 CTQ458771 DDM458771 DNI458771 DXE458771 EHA458771 EQW458771 FAS458771 FKO458771 FUK458771 GEG458771 GOC458771 GXY458771 HHU458771 HRQ458771 IBM458771 ILI458771 IVE458771 JFA458771 JOW458771 JYS458771 KIO458771 KSK458771 LCG458771 LMC458771 LVY458771 MFU458771 MPQ458771 MZM458771 NJI458771 NTE458771 ODA458771 OMW458771 OWS458771 PGO458771 PQK458771 QAG458771 QKC458771 QTY458771 RDU458771 RNQ458771 RXM458771 SHI458771 SRE458771 TBA458771 TKW458771 TUS458771 UEO458771 UOK458771 UYG458771 VIC458771 VRY458771 WBU458771 WLQ458771 WVM458771 E524307 JA524307 SW524307 ACS524307 AMO524307 AWK524307 BGG524307 BQC524307 BZY524307 CJU524307 CTQ524307 DDM524307 DNI524307 DXE524307 EHA524307 EQW524307 FAS524307 FKO524307 FUK524307 GEG524307 GOC524307 GXY524307 HHU524307 HRQ524307 IBM524307 ILI524307 IVE524307 JFA524307 JOW524307 JYS524307 KIO524307 KSK524307 LCG524307 LMC524307 LVY524307 MFU524307 MPQ524307 MZM524307 NJI524307 NTE524307 ODA524307 OMW524307 OWS524307 PGO524307 PQK524307 QAG524307 QKC524307 QTY524307 RDU524307 RNQ524307 RXM524307 SHI524307 SRE524307 TBA524307 TKW524307 TUS524307 UEO524307 UOK524307 UYG524307 VIC524307 VRY524307 WBU524307 WLQ524307 WVM524307 E589843 JA589843 SW589843 ACS589843 AMO589843 AWK589843 BGG589843 BQC589843 BZY589843 CJU589843 CTQ589843 DDM589843 DNI589843 DXE589843 EHA589843 EQW589843 FAS589843 FKO589843 FUK589843 GEG589843 GOC589843 GXY589843 HHU589843 HRQ589843 IBM589843 ILI589843 IVE589843 JFA589843 JOW589843 JYS589843 KIO589843 KSK589843 LCG589843 LMC589843 LVY589843 MFU589843 MPQ589843 MZM589843 NJI589843 NTE589843 ODA589843 OMW589843 OWS589843 PGO589843 PQK589843 QAG589843 QKC589843 QTY589843 RDU589843 RNQ589843 RXM589843 SHI589843 SRE589843 TBA589843 TKW589843 TUS589843 UEO589843 UOK589843 UYG589843 VIC589843 VRY589843 WBU589843 WLQ589843 WVM589843 E655379 JA655379 SW655379 ACS655379 AMO655379 AWK655379 BGG655379 BQC655379 BZY655379 CJU655379 CTQ655379 DDM655379 DNI655379 DXE655379 EHA655379 EQW655379 FAS655379 FKO655379 FUK655379 GEG655379 GOC655379 GXY655379 HHU655379 HRQ655379 IBM655379 ILI655379 IVE655379 JFA655379 JOW655379 JYS655379 KIO655379 KSK655379 LCG655379 LMC655379 LVY655379 MFU655379 MPQ655379 MZM655379 NJI655379 NTE655379 ODA655379 OMW655379 OWS655379 PGO655379 PQK655379 QAG655379 QKC655379 QTY655379 RDU655379 RNQ655379 RXM655379 SHI655379 SRE655379 TBA655379 TKW655379 TUS655379 UEO655379 UOK655379 UYG655379 VIC655379 VRY655379 WBU655379 WLQ655379 WVM655379 E720915 JA720915 SW720915 ACS720915 AMO720915 AWK720915 BGG720915 BQC720915 BZY720915 CJU720915 CTQ720915 DDM720915 DNI720915 DXE720915 EHA720915 EQW720915 FAS720915 FKO720915 FUK720915 GEG720915 GOC720915 GXY720915 HHU720915 HRQ720915 IBM720915 ILI720915 IVE720915 JFA720915 JOW720915 JYS720915 KIO720915 KSK720915 LCG720915 LMC720915 LVY720915 MFU720915 MPQ720915 MZM720915 NJI720915 NTE720915 ODA720915 OMW720915 OWS720915 PGO720915 PQK720915 QAG720915 QKC720915 QTY720915 RDU720915 RNQ720915 RXM720915 SHI720915 SRE720915 TBA720915 TKW720915 TUS720915 UEO720915 UOK720915 UYG720915 VIC720915 VRY720915 WBU720915 WLQ720915 WVM720915 E786451 JA786451 SW786451 ACS786451 AMO786451 AWK786451 BGG786451 BQC786451 BZY786451 CJU786451 CTQ786451 DDM786451 DNI786451 DXE786451 EHA786451 EQW786451 FAS786451 FKO786451 FUK786451 GEG786451 GOC786451 GXY786451 HHU786451 HRQ786451 IBM786451 ILI786451 IVE786451 JFA786451 JOW786451 JYS786451 KIO786451 KSK786451 LCG786451 LMC786451 LVY786451 MFU786451 MPQ786451 MZM786451 NJI786451 NTE786451 ODA786451 OMW786451 OWS786451 PGO786451 PQK786451 QAG786451 QKC786451 QTY786451 RDU786451 RNQ786451 RXM786451 SHI786451 SRE786451 TBA786451 TKW786451 TUS786451 UEO786451 UOK786451 UYG786451 VIC786451 VRY786451 WBU786451 WLQ786451 WVM786451 E851987 JA851987 SW851987 ACS851987 AMO851987 AWK851987 BGG851987 BQC851987 BZY851987 CJU851987 CTQ851987 DDM851987 DNI851987 DXE851987 EHA851987 EQW851987 FAS851987 FKO851987 FUK851987 GEG851987 GOC851987 GXY851987 HHU851987 HRQ851987 IBM851987 ILI851987 IVE851987 JFA851987 JOW851987 JYS851987 KIO851987 KSK851987 LCG851987 LMC851987 LVY851987 MFU851987 MPQ851987 MZM851987 NJI851987 NTE851987 ODA851987 OMW851987 OWS851987 PGO851987 PQK851987 QAG851987 QKC851987 QTY851987 RDU851987 RNQ851987 RXM851987 SHI851987 SRE851987 TBA851987 TKW851987 TUS851987 UEO851987 UOK851987 UYG851987 VIC851987 VRY851987 WBU851987 WLQ851987 WVM851987 E917523 JA917523 SW917523 ACS917523 AMO917523 AWK917523 BGG917523 BQC917523 BZY917523 CJU917523 CTQ917523 DDM917523 DNI917523 DXE917523 EHA917523 EQW917523 FAS917523 FKO917523 FUK917523 GEG917523 GOC917523 GXY917523 HHU917523 HRQ917523 IBM917523 ILI917523 IVE917523 JFA917523 JOW917523 JYS917523 KIO917523 KSK917523 LCG917523 LMC917523 LVY917523 MFU917523 MPQ917523 MZM917523 NJI917523 NTE917523 ODA917523 OMW917523 OWS917523 PGO917523 PQK917523 QAG917523 QKC917523 QTY917523 RDU917523 RNQ917523 RXM917523 SHI917523 SRE917523 TBA917523 TKW917523 TUS917523 UEO917523 UOK917523 UYG917523 VIC917523 VRY917523 WBU917523 WLQ917523 WVM917523 E983059 JA983059 SW983059 ACS983059 AMO983059 AWK983059 BGG983059 BQC983059 BZY983059 CJU983059 CTQ983059 DDM983059 DNI983059 DXE983059 EHA983059 EQW983059 FAS983059 FKO983059 FUK983059 GEG983059 GOC983059 GXY983059 HHU983059 HRQ983059 IBM983059 ILI983059 IVE983059 JFA983059 JOW983059 JYS983059 KIO983059 KSK983059 LCG983059 LMC983059 LVY983059 MFU983059 MPQ983059 MZM983059 NJI983059 NTE983059 ODA983059 OMW983059 OWS983059 PGO983059 PQK983059 QAG983059 QKC983059 QTY983059 RDU983059 RNQ983059 RXM983059 SHI983059 SRE983059 TBA983059 TKW983059 TUS983059 UEO983059 UOK983059 UYG983059 VIC983059 VRY983059 WBU983059 WLQ983059" xr:uid="{00000000-0002-0000-0400-000004000000}">
      <formula1>1</formula1>
      <formula2>$E$24</formula2>
    </dataValidation>
    <dataValidation type="decimal" operator="greaterThanOrEqual" allowBlank="1" showInputMessage="1" showErrorMessage="1" error="Pier length, 'Lx', MUST BE &gt;= plate length, 'N/2'." prompt="Edge Distance, 'E.Dx₁', is the distance parallel to the base plate Length, 'N' measured from center of the lug to the edge of pier." sqref="E20" xr:uid="{A01D65D0-3798-4F4F-B716-8557BECB5861}">
      <formula1>$E$23/2</formula1>
    </dataValidation>
    <dataValidation type="decimal" operator="greaterThanOrEqual" allowBlank="1" showInputMessage="1" showErrorMessage="1" error="Edge Distance, 'E.Dᵧ₁', MUST BE &gt;= plate width, 'B/2'." prompt="Edge Distance, 'E.Dᵧ₁', is the distance parallel to the base plate width, 'B' measured from center of the lug to the edge of pier ." sqref="E21" xr:uid="{C04032FB-1E8A-4D10-A96E-989A35AAA1FA}">
      <formula1>$E$24/2</formula1>
    </dataValidation>
    <dataValidation type="decimal" operator="greaterThanOrEqual" allowBlank="1" showInputMessage="1" showErrorMessage="1" error="Edge Distance, 'E.Dᵧ₂', MUST BE &gt;= plate width, 'B/2'." prompt="Edge Distance, 'E.Dᵧ₂', is the distance parallel to the base plate width, 'B' measured from center of the lug to the edge of pier ." sqref="E22" xr:uid="{F93900E2-F28E-4DD0-9A36-DFDF3C04DB8A}">
      <formula1>$E$24/2</formula1>
    </dataValidation>
    <dataValidation type="list" allowBlank="1" showInputMessage="1" showErrorMessage="1" prompt="Coefficient of Friction:_x000a_  = 0.55 for base plate on top of grout bed._x000a_  = 0.70 for base plate recessed in grout._x000a_  = 0.90 for base plate embedded in concrete." sqref="WVM983063 WLQ983063 WBU983063 VRY983063 VIC983063 UYG983063 UOK983063 UEO983063 TUS983063 TKW983063 TBA983063 SRE983063 SHI983063 RXM983063 RNQ983063 RDU983063 QTY983063 QKC983063 QAG983063 PQK983063 PGO983063 OWS983063 OMW983063 ODA983063 NTE983063 NJI983063 MZM983063 MPQ983063 MFU983063 LVY983063 LMC983063 LCG983063 KSK983063 KIO983063 JYS983063 JOW983063 JFA983063 IVE983063 ILI983063 IBM983063 HRQ983063 HHU983063 GXY983063 GOC983063 GEG983063 FUK983063 FKO983063 FAS983063 EQW983063 EHA983063 DXE983063 DNI983063 DDM983063 CTQ983063 CJU983063 BZY983063 BQC983063 BGG983063 AWK983063 AMO983063 ACS983063 SW983063 JA983063 E983063 WVM917527 WLQ917527 WBU917527 VRY917527 VIC917527 UYG917527 UOK917527 UEO917527 TUS917527 TKW917527 TBA917527 SRE917527 SHI917527 RXM917527 RNQ917527 RDU917527 QTY917527 QKC917527 QAG917527 PQK917527 PGO917527 OWS917527 OMW917527 ODA917527 NTE917527 NJI917527 MZM917527 MPQ917527 MFU917527 LVY917527 LMC917527 LCG917527 KSK917527 KIO917527 JYS917527 JOW917527 JFA917527 IVE917527 ILI917527 IBM917527 HRQ917527 HHU917527 GXY917527 GOC917527 GEG917527 FUK917527 FKO917527 FAS917527 EQW917527 EHA917527 DXE917527 DNI917527 DDM917527 CTQ917527 CJU917527 BZY917527 BQC917527 BGG917527 AWK917527 AMO917527 ACS917527 SW917527 JA917527 E917527 WVM851991 WLQ851991 WBU851991 VRY851991 VIC851991 UYG851991 UOK851991 UEO851991 TUS851991 TKW851991 TBA851991 SRE851991 SHI851991 RXM851991 RNQ851991 RDU851991 QTY851991 QKC851991 QAG851991 PQK851991 PGO851991 OWS851991 OMW851991 ODA851991 NTE851991 NJI851991 MZM851991 MPQ851991 MFU851991 LVY851991 LMC851991 LCG851991 KSK851991 KIO851991 JYS851991 JOW851991 JFA851991 IVE851991 ILI851991 IBM851991 HRQ851991 HHU851991 GXY851991 GOC851991 GEG851991 FUK851991 FKO851991 FAS851991 EQW851991 EHA851991 DXE851991 DNI851991 DDM851991 CTQ851991 CJU851991 BZY851991 BQC851991 BGG851991 AWK851991 AMO851991 ACS851991 SW851991 JA851991 E851991 WVM786455 WLQ786455 WBU786455 VRY786455 VIC786455 UYG786455 UOK786455 UEO786455 TUS786455 TKW786455 TBA786455 SRE786455 SHI786455 RXM786455 RNQ786455 RDU786455 QTY786455 QKC786455 QAG786455 PQK786455 PGO786455 OWS786455 OMW786455 ODA786455 NTE786455 NJI786455 MZM786455 MPQ786455 MFU786455 LVY786455 LMC786455 LCG786455 KSK786455 KIO786455 JYS786455 JOW786455 JFA786455 IVE786455 ILI786455 IBM786455 HRQ786455 HHU786455 GXY786455 GOC786455 GEG786455 FUK786455 FKO786455 FAS786455 EQW786455 EHA786455 DXE786455 DNI786455 DDM786455 CTQ786455 CJU786455 BZY786455 BQC786455 BGG786455 AWK786455 AMO786455 ACS786455 SW786455 JA786455 E786455 WVM720919 WLQ720919 WBU720919 VRY720919 VIC720919 UYG720919 UOK720919 UEO720919 TUS720919 TKW720919 TBA720919 SRE720919 SHI720919 RXM720919 RNQ720919 RDU720919 QTY720919 QKC720919 QAG720919 PQK720919 PGO720919 OWS720919 OMW720919 ODA720919 NTE720919 NJI720919 MZM720919 MPQ720919 MFU720919 LVY720919 LMC720919 LCG720919 KSK720919 KIO720919 JYS720919 JOW720919 JFA720919 IVE720919 ILI720919 IBM720919 HRQ720919 HHU720919 GXY720919 GOC720919 GEG720919 FUK720919 FKO720919 FAS720919 EQW720919 EHA720919 DXE720919 DNI720919 DDM720919 CTQ720919 CJU720919 BZY720919 BQC720919 BGG720919 AWK720919 AMO720919 ACS720919 SW720919 JA720919 E720919 WVM655383 WLQ655383 WBU655383 VRY655383 VIC655383 UYG655383 UOK655383 UEO655383 TUS655383 TKW655383 TBA655383 SRE655383 SHI655383 RXM655383 RNQ655383 RDU655383 QTY655383 QKC655383 QAG655383 PQK655383 PGO655383 OWS655383 OMW655383 ODA655383 NTE655383 NJI655383 MZM655383 MPQ655383 MFU655383 LVY655383 LMC655383 LCG655383 KSK655383 KIO655383 JYS655383 JOW655383 JFA655383 IVE655383 ILI655383 IBM655383 HRQ655383 HHU655383 GXY655383 GOC655383 GEG655383 FUK655383 FKO655383 FAS655383 EQW655383 EHA655383 DXE655383 DNI655383 DDM655383 CTQ655383 CJU655383 BZY655383 BQC655383 BGG655383 AWK655383 AMO655383 ACS655383 SW655383 JA655383 E655383 WVM589847 WLQ589847 WBU589847 VRY589847 VIC589847 UYG589847 UOK589847 UEO589847 TUS589847 TKW589847 TBA589847 SRE589847 SHI589847 RXM589847 RNQ589847 RDU589847 QTY589847 QKC589847 QAG589847 PQK589847 PGO589847 OWS589847 OMW589847 ODA589847 NTE589847 NJI589847 MZM589847 MPQ589847 MFU589847 LVY589847 LMC589847 LCG589847 KSK589847 KIO589847 JYS589847 JOW589847 JFA589847 IVE589847 ILI589847 IBM589847 HRQ589847 HHU589847 GXY589847 GOC589847 GEG589847 FUK589847 FKO589847 FAS589847 EQW589847 EHA589847 DXE589847 DNI589847 DDM589847 CTQ589847 CJU589847 BZY589847 BQC589847 BGG589847 AWK589847 AMO589847 ACS589847 SW589847 JA589847 E589847 WVM524311 WLQ524311 WBU524311 VRY524311 VIC524311 UYG524311 UOK524311 UEO524311 TUS524311 TKW524311 TBA524311 SRE524311 SHI524311 RXM524311 RNQ524311 RDU524311 QTY524311 QKC524311 QAG524311 PQK524311 PGO524311 OWS524311 OMW524311 ODA524311 NTE524311 NJI524311 MZM524311 MPQ524311 MFU524311 LVY524311 LMC524311 LCG524311 KSK524311 KIO524311 JYS524311 JOW524311 JFA524311 IVE524311 ILI524311 IBM524311 HRQ524311 HHU524311 GXY524311 GOC524311 GEG524311 FUK524311 FKO524311 FAS524311 EQW524311 EHA524311 DXE524311 DNI524311 DDM524311 CTQ524311 CJU524311 BZY524311 BQC524311 BGG524311 AWK524311 AMO524311 ACS524311 SW524311 JA524311 E524311 WVM458775 WLQ458775 WBU458775 VRY458775 VIC458775 UYG458775 UOK458775 UEO458775 TUS458775 TKW458775 TBA458775 SRE458775 SHI458775 RXM458775 RNQ458775 RDU458775 QTY458775 QKC458775 QAG458775 PQK458775 PGO458775 OWS458775 OMW458775 ODA458775 NTE458775 NJI458775 MZM458775 MPQ458775 MFU458775 LVY458775 LMC458775 LCG458775 KSK458775 KIO458775 JYS458775 JOW458775 JFA458775 IVE458775 ILI458775 IBM458775 HRQ458775 HHU458775 GXY458775 GOC458775 GEG458775 FUK458775 FKO458775 FAS458775 EQW458775 EHA458775 DXE458775 DNI458775 DDM458775 CTQ458775 CJU458775 BZY458775 BQC458775 BGG458775 AWK458775 AMO458775 ACS458775 SW458775 JA458775 E458775 WVM393239 WLQ393239 WBU393239 VRY393239 VIC393239 UYG393239 UOK393239 UEO393239 TUS393239 TKW393239 TBA393239 SRE393239 SHI393239 RXM393239 RNQ393239 RDU393239 QTY393239 QKC393239 QAG393239 PQK393239 PGO393239 OWS393239 OMW393239 ODA393239 NTE393239 NJI393239 MZM393239 MPQ393239 MFU393239 LVY393239 LMC393239 LCG393239 KSK393239 KIO393239 JYS393239 JOW393239 JFA393239 IVE393239 ILI393239 IBM393239 HRQ393239 HHU393239 GXY393239 GOC393239 GEG393239 FUK393239 FKO393239 FAS393239 EQW393239 EHA393239 DXE393239 DNI393239 DDM393239 CTQ393239 CJU393239 BZY393239 BQC393239 BGG393239 AWK393239 AMO393239 ACS393239 SW393239 JA393239 E393239 WVM327703 WLQ327703 WBU327703 VRY327703 VIC327703 UYG327703 UOK327703 UEO327703 TUS327703 TKW327703 TBA327703 SRE327703 SHI327703 RXM327703 RNQ327703 RDU327703 QTY327703 QKC327703 QAG327703 PQK327703 PGO327703 OWS327703 OMW327703 ODA327703 NTE327703 NJI327703 MZM327703 MPQ327703 MFU327703 LVY327703 LMC327703 LCG327703 KSK327703 KIO327703 JYS327703 JOW327703 JFA327703 IVE327703 ILI327703 IBM327703 HRQ327703 HHU327703 GXY327703 GOC327703 GEG327703 FUK327703 FKO327703 FAS327703 EQW327703 EHA327703 DXE327703 DNI327703 DDM327703 CTQ327703 CJU327703 BZY327703 BQC327703 BGG327703 AWK327703 AMO327703 ACS327703 SW327703 JA327703 E327703 WVM262167 WLQ262167 WBU262167 VRY262167 VIC262167 UYG262167 UOK262167 UEO262167 TUS262167 TKW262167 TBA262167 SRE262167 SHI262167 RXM262167 RNQ262167 RDU262167 QTY262167 QKC262167 QAG262167 PQK262167 PGO262167 OWS262167 OMW262167 ODA262167 NTE262167 NJI262167 MZM262167 MPQ262167 MFU262167 LVY262167 LMC262167 LCG262167 KSK262167 KIO262167 JYS262167 JOW262167 JFA262167 IVE262167 ILI262167 IBM262167 HRQ262167 HHU262167 GXY262167 GOC262167 GEG262167 FUK262167 FKO262167 FAS262167 EQW262167 EHA262167 DXE262167 DNI262167 DDM262167 CTQ262167 CJU262167 BZY262167 BQC262167 BGG262167 AWK262167 AMO262167 ACS262167 SW262167 JA262167 E262167 WVM196631 WLQ196631 WBU196631 VRY196631 VIC196631 UYG196631 UOK196631 UEO196631 TUS196631 TKW196631 TBA196631 SRE196631 SHI196631 RXM196631 RNQ196631 RDU196631 QTY196631 QKC196631 QAG196631 PQK196631 PGO196631 OWS196631 OMW196631 ODA196631 NTE196631 NJI196631 MZM196631 MPQ196631 MFU196631 LVY196631 LMC196631 LCG196631 KSK196631 KIO196631 JYS196631 JOW196631 JFA196631 IVE196631 ILI196631 IBM196631 HRQ196631 HHU196631 GXY196631 GOC196631 GEG196631 FUK196631 FKO196631 FAS196631 EQW196631 EHA196631 DXE196631 DNI196631 DDM196631 CTQ196631 CJU196631 BZY196631 BQC196631 BGG196631 AWK196631 AMO196631 ACS196631 SW196631 JA196631 E196631 WVM131095 WLQ131095 WBU131095 VRY131095 VIC131095 UYG131095 UOK131095 UEO131095 TUS131095 TKW131095 TBA131095 SRE131095 SHI131095 RXM131095 RNQ131095 RDU131095 QTY131095 QKC131095 QAG131095 PQK131095 PGO131095 OWS131095 OMW131095 ODA131095 NTE131095 NJI131095 MZM131095 MPQ131095 MFU131095 LVY131095 LMC131095 LCG131095 KSK131095 KIO131095 JYS131095 JOW131095 JFA131095 IVE131095 ILI131095 IBM131095 HRQ131095 HHU131095 GXY131095 GOC131095 GEG131095 FUK131095 FKO131095 FAS131095 EQW131095 EHA131095 DXE131095 DNI131095 DDM131095 CTQ131095 CJU131095 BZY131095 BQC131095 BGG131095 AWK131095 AMO131095 ACS131095 SW131095 JA131095 E131095 WVM65559 WLQ65559 WBU65559 VRY65559 VIC65559 UYG65559 UOK65559 UEO65559 TUS65559 TKW65559 TBA65559 SRE65559 SHI65559 RXM65559 RNQ65559 RDU65559 QTY65559 QKC65559 QAG65559 PQK65559 PGO65559 OWS65559 OMW65559 ODA65559 NTE65559 NJI65559 MZM65559 MPQ65559 MFU65559 LVY65559 LMC65559 LCG65559 KSK65559 KIO65559 JYS65559 JOW65559 JFA65559 IVE65559 ILI65559 IBM65559 HRQ65559 HHU65559 GXY65559 GOC65559 GEG65559 FUK65559 FKO65559 FAS65559 EQW65559 EHA65559 DXE65559 DNI65559 DDM65559 CTQ65559 CJU65559 BZY65559 BQC65559 BGG65559 AWK65559 AMO65559 ACS65559 SW65559 JA65559 E65559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400-000007000000}">
      <formula1>$M$10:$M$12</formula1>
    </dataValidation>
    <dataValidation type="list" allowBlank="1" showInputMessage="1" showErrorMessage="1" sqref="E36" xr:uid="{00000000-0002-0000-0400-00000F000000}">
      <formula1>IF($E$33="Headed Stud",$P$8:$P$14,$P$22:$P$42)</formula1>
    </dataValidation>
  </dataValidations>
  <printOptions horizontalCentered="1"/>
  <pageMargins left="0.5" right="0.5" top="0.5" bottom="0.5" header="0.5" footer="0.25"/>
  <pageSetup paperSize="9" orientation="portrait" r:id="rId1"/>
  <headerFooter alignWithMargins="0">
    <oddFooter>&amp;R by Mohd Yousef</oddFooter>
  </headerFooter>
  <ignoredErrors>
    <ignoredError sqref="D72"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Shear Lug</vt:lpstr>
      <vt:lpstr>'Shear Lug'!Print_Area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2019-03-31T04:45:55Z</dcterms:created>
  <dcterms:modified xsi:type="dcterms:W3CDTF">2026-02-16T05:08:16Z</dcterms:modified>
  <cp:category/>
</cp:coreProperties>
</file>